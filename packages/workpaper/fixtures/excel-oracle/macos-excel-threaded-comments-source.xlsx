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codeName="ThisWorkbook"/>
  <mc:AlternateContent xmlns:mc="http://schemas.openxmlformats.org/markup-compatibility/2006">
    <mc:Choice Requires="x15">
      <x15ac:absPath xmlns:x15ac="http://schemas.microsoft.com/office/spreadsheetml/2010/11/ac" url="/Users/Shared/Previously Relocated Items/Security/All My Stuff/Home Page 2002/pc/"/>
    </mc:Choice>
  </mc:AlternateContent>
  <xr:revisionPtr revIDLastSave="0" documentId="13_ncr:1_{54817EFA-8839-5047-9E97-EB095C60498D}" xr6:coauthVersionLast="47" xr6:coauthVersionMax="47" xr10:uidLastSave="{00000000-0000-0000-0000-000000000000}"/>
  <bookViews>
    <workbookView xWindow="0" yWindow="760" windowWidth="30240" windowHeight="18880" tabRatio="772" xr2:uid="{00000000-000D-0000-FFFF-FFFF00000000}"/>
  </bookViews>
  <sheets>
    <sheet name="Cost of capital worksheet" sheetId="19" r:id="rId1"/>
    <sheet name="Country equity risk premiums" sheetId="23" r:id="rId2"/>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28" i="23" l="1"/>
  <c r="B228" i="23" s="1"/>
  <c r="E224" i="23"/>
  <c r="B224" i="23"/>
  <c r="E223" i="23"/>
  <c r="B223" i="23"/>
  <c r="E222" i="23"/>
  <c r="B222" i="23" s="1"/>
  <c r="E221" i="23"/>
  <c r="B221" i="23"/>
  <c r="E220" i="23"/>
  <c r="B220" i="23"/>
  <c r="E219" i="23"/>
  <c r="B219" i="23" s="1"/>
  <c r="E218" i="23"/>
  <c r="B218" i="23"/>
  <c r="E217" i="23"/>
  <c r="B217" i="23"/>
  <c r="E216" i="23"/>
  <c r="B216" i="23"/>
  <c r="E215" i="23"/>
  <c r="B215" i="23"/>
  <c r="E214" i="23"/>
  <c r="B214" i="23"/>
  <c r="B210" i="23"/>
  <c r="B209" i="23"/>
  <c r="B208" i="23"/>
  <c r="B207" i="23"/>
  <c r="B206" i="23"/>
  <c r="B205" i="23"/>
  <c r="B204" i="23"/>
  <c r="B203" i="23"/>
  <c r="B202" i="23"/>
  <c r="B201"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C6" i="19"/>
  <c r="C5" i="19"/>
  <c r="A36" i="19"/>
  <c r="A35" i="19"/>
  <c r="A34" i="19"/>
  <c r="A33" i="19"/>
  <c r="A32" i="19"/>
  <c r="A31" i="19"/>
  <c r="A30" i="19"/>
  <c r="A29" i="19"/>
  <c r="A28" i="19"/>
  <c r="C36" i="19" l="1"/>
  <c r="C35" i="19"/>
  <c r="C34" i="19"/>
  <c r="C33" i="19"/>
  <c r="C32" i="19"/>
  <c r="C31" i="19"/>
  <c r="C30" i="19"/>
  <c r="C29" i="19"/>
  <c r="C28" i="19"/>
  <c r="E30" i="19" l="1"/>
  <c r="E31" i="19"/>
  <c r="E28" i="19"/>
  <c r="E36" i="19"/>
  <c r="B24" i="19"/>
  <c r="D6" i="19" s="1"/>
  <c r="E6" i="19" s="1"/>
  <c r="D5" i="19"/>
  <c r="E5" i="19" s="1"/>
  <c r="D7" i="19"/>
  <c r="E7" i="19"/>
  <c r="D8" i="19"/>
  <c r="E8" i="19" s="1"/>
  <c r="D9" i="19"/>
  <c r="E9" i="19"/>
  <c r="D10" i="19"/>
  <c r="E10" i="19"/>
  <c r="D11" i="19"/>
  <c r="E11" i="19"/>
  <c r="D12" i="19"/>
  <c r="E12" i="19" s="1"/>
  <c r="D13" i="19"/>
  <c r="E13" i="19"/>
  <c r="D14" i="19"/>
  <c r="E14" i="19"/>
  <c r="D15" i="19"/>
  <c r="E15" i="19"/>
  <c r="D16" i="19"/>
  <c r="E16" i="19" s="1"/>
  <c r="D17" i="19"/>
  <c r="E17" i="19"/>
  <c r="D18" i="19"/>
  <c r="E18" i="19"/>
  <c r="D19" i="19"/>
  <c r="E19" i="19"/>
  <c r="D20" i="19"/>
  <c r="E20" i="19" s="1"/>
  <c r="D21" i="19"/>
  <c r="E21" i="19"/>
  <c r="D22" i="19"/>
  <c r="E22" i="19"/>
  <c r="D23" i="19"/>
  <c r="E23" i="19"/>
  <c r="B29" i="19"/>
  <c r="B39" i="19"/>
  <c r="D31" i="19"/>
  <c r="D39" i="19"/>
  <c r="D36" i="19"/>
  <c r="D37" i="19"/>
  <c r="E37" i="19"/>
  <c r="D34" i="19"/>
  <c r="E34" i="19"/>
  <c r="D30" i="19"/>
  <c r="D32" i="19"/>
  <c r="E32" i="19"/>
  <c r="D33" i="19"/>
  <c r="E33" i="19"/>
  <c r="D29" i="19"/>
  <c r="E29" i="19"/>
  <c r="D38" i="19"/>
  <c r="E38" i="19"/>
  <c r="D28" i="19"/>
  <c r="D35" i="19"/>
  <c r="E35" i="19"/>
  <c r="D24" i="19" l="1"/>
  <c r="E24" i="19"/>
  <c r="E3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tc={DB07E508-D46D-AD43-B233-19F4E6FF2127}</author>
  </authors>
  <commentList>
    <comment ref="B1" authorId="0" shapeId="0" xr:uid="{DB07E508-D46D-AD43-B233-19F4E6FF2127}">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<sst xmlns="http://schemas.openxmlformats.org/spreadsheetml/2006/main" count="449" uniqueCount="261">
  <si>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</si>
  <si>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</si>
  <si>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</si>
  <si>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</si>
  <si>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</si>
  <si>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</si>
  <si>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</si>
  <si>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</si>
  <si>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</si>
  <si>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</si>
  <si>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</si>
  <si>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</si>
  <si>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</si>
  <si>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</si>
  <si>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</si>
  <si>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</si>
  <si>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</si>
  <si>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</si>
  <si>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</si>
  <si>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</si>
  <si>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</si>
  <si>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</si>
  <si>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</si>
  <si>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</si>
  <si>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</si>
  <si>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</si>
  <si>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</si>
  <si>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</si>
  <si>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</si>
  <si>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</si>
  <si>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</si>
  <si>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</si>
  <si>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</si>
  <si>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</si>
  <si>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</si>
  <si>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</si>
  <si>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</si>
  <si>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</si>
  <si>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</si>
  <si>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</si>
  <si>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</si>
  <si>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</si>
  <si>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</si>
  <si>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</si>
  <si>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</si>
  <si>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</si>
  <si>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</si>
  <si>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</si>
  <si>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</si>
  <si>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</si>
  <si>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</si>
  <si>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</si>
  <si>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</si>
  <si>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</si>
  <si>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</si>
  <si>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</si>
  <si>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</si>
  <si>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</si>
  <si>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</si>
  <si>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</si>
  <si>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</si>
  <si>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</si>
  <si>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</si>
  <si>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</si>
  <si>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</si>
  <si>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</si>
  <si>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</si>
  <si>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</si>
  <si>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</si>
  <si>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</si>
  <si>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</si>
  <si>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</si>
  <si>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</si>
  <si>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</si>
  <si>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</si>
  <si>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</si>
  <si>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</si>
  <si>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</si>
  <si>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</si>
  <si>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</si>
  <si>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</si>
  <si>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</si>
  <si>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</si>
  <si>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</si>
  <si>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</si>
  <si>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</si>
  <si>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</si>
  <si>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</si>
  <si>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</si>
  <si>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</si>
  <si>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</si>
  <si>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</si>
  <si>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</si>
  <si>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</si>
  <si>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</si>
  <si>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</si>
  <si>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</si>
  <si>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</si>
  <si>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</si>
  <si>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Uruguay</t>
  </si>
  <si>
    <t>Venezuela</t>
  </si>
  <si>
    <t>Vietnam</t>
  </si>
  <si>
    <t>Zambia</t>
  </si>
  <si>
    <t>Country</t>
  </si>
  <si>
    <t>Adj. Default Spread</t>
  </si>
  <si>
    <t>Country Risk Premium</t>
  </si>
  <si>
    <t>Region</t>
  </si>
  <si>
    <t>Western Europe</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</si>
  <si>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</si>
  <si>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</si>
  <si>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</si>
  <si>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</si>
  <si>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</si>
  <si>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</si>
  <si>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</si>
  <si>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</si>
  <si>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</si>
  <si>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</si>
  <si>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</si>
  <si>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</si>
  <si>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</si>
  <si>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</si>
  <si>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</si>
  <si>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</si>
  <si>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</si>
  <si>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</si>
  <si>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</si>
  <si>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</si>
  <si>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</si>
  <si>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</si>
  <si>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</si>
  <si>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</si>
  <si>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</si>
  <si>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Asia</t>
  </si>
  <si>
    <t>Kenya</t>
  </si>
  <si>
    <t>St. Maarten</t>
  </si>
  <si>
    <t>Uganda</t>
  </si>
  <si>
    <t>Abu Dhabi</t>
  </si>
  <si>
    <t>Burkina Faso</t>
  </si>
  <si>
    <t>Cameroon</t>
  </si>
  <si>
    <t>Cape Verde</t>
  </si>
  <si>
    <t>Cook Islands</t>
  </si>
  <si>
    <t>Gabon</t>
  </si>
  <si>
    <t>Ghana</t>
  </si>
  <si>
    <t>Montserrat</t>
  </si>
  <si>
    <t>Rwanda</t>
  </si>
  <si>
    <t>Global</t>
  </si>
  <si>
    <t>Andorra (Principality of)</t>
  </si>
  <si>
    <t>Congo (Democratic Republic of)</t>
  </si>
  <si>
    <t>Congo (Republic of)</t>
  </si>
  <si>
    <t>Ethiopia</t>
  </si>
  <si>
    <t>Ras Al Khaimah (Emirate of)</t>
  </si>
  <si>
    <t>Sharjah</t>
  </si>
  <si>
    <t>Corporate Tax Rate</t>
  </si>
  <si>
    <t>Estimation of Company Equity Risk Premium</t>
  </si>
  <si>
    <t>Region: There are two ways that you can estimate the equity risk premium for your company. One is to use a country breakdown, if you have it. The other is to use a regional breakdown.</t>
  </si>
  <si>
    <t>Revenues or other Metric</t>
  </si>
  <si>
    <t>Operating Countries (last two rows can your direct inputs)</t>
  </si>
  <si>
    <t>Operating Regions ERP calculator (last two rows are for your direct input)</t>
  </si>
  <si>
    <t>The last two rows in each of these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</si>
  <si>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Iraq</t>
  </si>
  <si>
    <t>Kyrgyzstan</t>
  </si>
  <si>
    <t>United States</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</si>
  <si>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</si>
  <si>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</si>
  <si>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</si>
  <si>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</si>
  <si>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</si>
  <si>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</si>
  <si>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</si>
  <si>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</si>
  <si>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</si>
  <si>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</si>
  <si>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</si>
  <si>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</si>
  <si>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</si>
  <si>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</si>
  <si>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</si>
  <si>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</si>
  <si>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</si>
  <si>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</si>
  <si>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</si>
  <si>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</si>
  <si>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</si>
  <si>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</si>
  <si>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</si>
  <si>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</si>
  <si>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</si>
  <si>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</si>
  <si>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</si>
  <si>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</si>
  <si>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</si>
  <si>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</si>
  <si>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</si>
  <si>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</si>
  <si>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</si>
  <si>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</si>
  <si>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</si>
  <si>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</si>
  <si>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</si>
  <si>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</si>
  <si>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</si>
  <si>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</si>
  <si>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</si>
  <si>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</si>
  <si>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</si>
  <si>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</si>
  <si>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</si>
  <si>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</si>
  <si>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</si>
  <si>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</si>
  <si>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C</t>
  </si>
  <si>
    <t>Laos</t>
  </si>
  <si>
    <t>Ca</t>
  </si>
  <si>
    <t>Caa3</t>
  </si>
  <si>
    <t>Changing this number will update all your country equity risk premiums.</t>
  </si>
  <si>
    <t>Guernsey (States of)</t>
  </si>
  <si>
    <t>Jersey (States of)</t>
  </si>
  <si>
    <t>Maldives</t>
  </si>
  <si>
    <t>Uzbekistan</t>
  </si>
  <si>
    <t>NR</t>
  </si>
  <si>
    <t>Tax Rate</t>
  </si>
  <si>
    <t>Anguilla</t>
  </si>
  <si>
    <t>Antigua &amp; Barbuda</t>
  </si>
  <si>
    <t>British Virgin Islands</t>
  </si>
  <si>
    <t>Channel Islands</t>
  </si>
  <si>
    <t>Curaçao</t>
  </si>
  <si>
    <t>Falkland Islands</t>
  </si>
  <si>
    <t>French Guiana</t>
  </si>
  <si>
    <t>Gibraltar</t>
  </si>
  <si>
    <t>Greenland</t>
  </si>
  <si>
    <t>Ivory Coast</t>
  </si>
  <si>
    <t>Macau</t>
  </si>
  <si>
    <t>Martinique</t>
  </si>
  <si>
    <t>Monaco</t>
  </si>
  <si>
    <t>Netherlands Antilles</t>
  </si>
  <si>
    <t>Palestinian Authority</t>
  </si>
  <si>
    <t>Reunion</t>
  </si>
  <si>
    <t>Saint Lucia</t>
  </si>
  <si>
    <t>South Korea</t>
  </si>
  <si>
    <t>Trinidad &amp;' Tobago</t>
  </si>
  <si>
    <t>Turks &amp; Caicos Islands</t>
  </si>
  <si>
    <t>Yemen</t>
  </si>
  <si>
    <t>Default Spread</t>
  </si>
  <si>
    <t>CRP</t>
  </si>
  <si>
    <t>Nepal</t>
  </si>
  <si>
    <t>Eastern Europe</t>
  </si>
  <si>
    <t>Updated January 1, 2026</t>
  </si>
  <si>
    <t>Weighted Average: Default Spread</t>
  </si>
  <si>
    <t>Weighted Average: CRP</t>
  </si>
  <si>
    <t>Total GDP (in $ millions)</t>
  </si>
  <si>
    <t>Tax rate</t>
  </si>
  <si>
    <t>Africa &amp; Mid East</t>
  </si>
  <si>
    <t>Australia, NZ &amp; Canada</t>
  </si>
  <si>
    <t>Latin America &amp; Caribbean</t>
  </si>
  <si>
    <t>US</t>
  </si>
  <si>
    <t>Europe</t>
  </si>
  <si>
    <t>Emerging Markets</t>
  </si>
  <si>
    <t>Small Asia (No India, China &amp; Japan)</t>
  </si>
  <si>
    <t>For other regional groupings</t>
  </si>
  <si>
    <t>EMEA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</si>
</sst>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quot;$&quot;#,##0"/>
  </numFmts>
  <fonts count="20">
    <font>
      <sz val="9"/>
      <name val="Geneva"/>
      <family val="2"/>
    </font>
    <font>
      <sz val="12"/>
      <color theme="1"/>
      <name val="Calibri"/>
      <family val="2"/>
      <scheme val="minor"/>
    </font>
    <font>
      <sz val="9"/>
      <name val="Geneva"/>
      <family val="2"/>
    </font>
    <font>
      <sz val="10"/>
      <name val="Times"/>
      <family val="1"/>
    </font>
    <font>
      <b/>
      <i/>
      <sz val="10"/>
      <name val="Times"/>
      <family val="1"/>
    </font>
    <font>
      <b/>
      <i/>
      <sz val="14"/>
      <name val="Times"/>
      <family val="1"/>
    </font>
    <font>
      <b/>
      <i/>
      <sz val="12"/>
      <name val="Times"/>
      <family val="1"/>
    </font>
    <font>
      <i/>
      <sz val="14"/>
      <name val="Times"/>
      <family val="1"/>
    </font>
    <font>
      <i/>
      <sz val="12"/>
      <name val="Times"/>
      <family val="1"/>
    </font>
    <font>
      <sz val="12"/>
      <name val="Times"/>
      <family val="1"/>
    </font>
    <font>
      <sz val="12"/>
      <name val="Calibri"/>
      <family val="2"/>
      <scheme val="minor"/>
    </font>
    <font>
      <sz val="10"/>
      <color rgb="FF000000"/>
      <name val="Tahoma"/>
      <family val="2"/>
    </font>
    <font>
      <sz val="8"/>
      <name val="Geneva"/>
      <family val="2"/>
    </font>
    <font>
      <i/>
      <sz val="10"/>
      <name val="Geneva"/>
      <family val="2"/>
      <charset val="1"/>
    </font>
    <font>
      <i/>
      <sz val="9"/>
      <name val="Geneva"/>
      <family val="2"/>
      <charset val="1"/>
    </font>
    <font>
      <sz val="12"/>
      <color theme="1"/>
      <name val="Arial"/>
      <family val="2"/>
    </font>
    <font>
      <i/>
      <sz val="12"/>
      <name val="Calibri"/>
      <family val="2"/>
      <scheme val="minor"/>
    </font>
    <font>
      <sz val="12"/>
      <color rgb="FF000000"/>
      <name val="Calibri"/>
      <family val="2"/>
      <scheme val="minor"/>
    </font>
    <font>
      <sz val="9"/>
      <color theme="1"/>
      <name val="Geneva"/>
      <family val="2"/>
      <charset val="1"/>
    </font>
    <font>
      <sz val="10"/>
      <color rgb="FF000000"/>
      <name val="Helvetica"/>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2"/>
        <bgColor theme="0" tint="-0.14999847407452621"/>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62">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3" fillId="2" borderId="1" xfId="0" applyFont="1" applyFill="1" applyBorder="1"/>
    <xf numFmtId="0" fontId="4" fillId="0" borderId="1" xfId="0" applyFont="1" applyBorder="1"/>
    <xf numFmtId="0" fontId="7" fillId="3" borderId="0" xfId="0" applyFont="1" applyFill="1"/>
    <xf numFmtId="0" fontId="3" fillId="3" borderId="0" xfId="0" applyFont="1" applyFill="1"/>
    <xf numFmtId="10" fontId="3" fillId="3" borderId="0" xfId="1" applyNumberFormat="1" applyFont="1" applyFill="1" applyBorder="1"/>
    <xf numFmtId="0" fontId="0" fillId="2" borderId="0" xfId="0" applyFill="1"/>
    <xf numFmtId="0" fontId="0" fillId="2" borderId="1" xfId="0" applyFill="1" applyBorder="1"/>
    <xf numFmtId="0" fontId="3" fillId="4" borderId="1" xfId="0" applyFont="1" applyFill="1" applyBorder="1"/>
    <xf numFmtId="10" fontId="3" fillId="4" borderId="1" xfId="1" applyNumberFormat="1" applyFont="1" applyFill="1" applyBorder="1"/>
    <xf numFmtId="164" fontId="3" fillId="4" borderId="1" xfId="1" applyNumberFormat="1" applyFont="1" applyFill="1" applyBorder="1"/>
    <xf numFmtId="164" fontId="3" fillId="4" borderId="1" xfId="0" applyNumberFormat="1" applyFont="1" applyFill="1" applyBorder="1"/>
    <xf numFmtId="10" fontId="3" fillId="5" borderId="1" xfId="1" applyNumberFormat="1" applyFont="1" applyFill="1" applyBorder="1"/>
    <xf numFmtId="10" fontId="0" fillId="2" borderId="1" xfId="0" applyNumberFormat="1" applyFill="1" applyBorder="1"/>
    <xf numFmtId="0" fontId="7" fillId="0" borderId="0" xfId="0" applyFont="1" applyAlignment="1">
      <alignment horizontal="center"/>
    </xf>
    <xf numFmtId="0" fontId="4" fillId="0" borderId="1" xfId="0" applyFont="1" applyBorder="1" applyAlignment="1">
      <alignment horizontal="center"/>
    </xf>
    <xf numFmtId="10" fontId="2" fillId="5" borderId="1" xfId="1" applyNumberFormat="1" applyFont="1" applyFill="1" applyBorder="1" applyAlignment="1">
      <alignment horizontal="center"/>
    </xf>
    <xf numFmtId="10" fontId="3" fillId="2" borderId="1" xfId="1" applyNumberFormat="1" applyFont="1" applyFill="1" applyBorder="1" applyAlignment="1">
      <alignment horizontal="center"/>
    </xf>
    <xf numFmtId="0" fontId="3" fillId="4" borderId="1" xfId="0" applyFont="1" applyFill="1" applyBorder="1" applyAlignment="1">
      <alignment horizontal="center"/>
    </xf>
    <xf numFmtId="0" fontId="3" fillId="3" borderId="0" xfId="0" applyFont="1" applyFill="1" applyAlignment="1">
      <alignment horizontal="center"/>
    </xf>
    <xf numFmtId="10" fontId="3" fillId="4" borderId="1" xfId="0" applyNumberFormat="1" applyFont="1" applyFill="1" applyBorder="1" applyAlignment="1">
      <alignment horizontal="center"/>
    </xf>
    <xf numFmtId="10" fontId="3" fillId="2" borderId="1" xfId="0" applyNumberFormat="1" applyFont="1" applyFill="1" applyBorder="1" applyAlignment="1">
      <alignment horizontal="center"/>
    </xf>
    <xf numFmtId="0" fontId="0" fillId="0" borderId="0" xfId="0" applyAlignment="1">
      <alignment horizontal="center"/>
    </xf>
    <xf numFmtId="0" fontId="13" fillId="0" borderId="0" xfId="0" applyFont="1"/>
    <xf numFmtId="0" fontId="8" fillId="6" borderId="1" xfId="0" applyFont="1" applyFill="1" applyBorder="1" applyAlignment="1">
      <alignment horizontal="center"/>
    </xf>
    <xf numFmtId="10" fontId="10" fillId="0" borderId="1" xfId="0" applyNumberFormat="1" applyFont="1" applyBorder="1" applyAlignment="1">
      <alignment horizontal="center"/>
    </xf>
    <xf numFmtId="10" fontId="0" fillId="0" borderId="6" xfId="0" applyNumberFormat="1" applyBorder="1" applyAlignment="1">
      <alignment horizontal="center"/>
    </xf>
    <xf numFmtId="0" fontId="14" fillId="0" borderId="1" xfId="0" applyFont="1" applyBorder="1"/>
    <xf numFmtId="0" fontId="0" fillId="0" borderId="1" xfId="0" applyBorder="1"/>
    <xf numFmtId="0" fontId="7" fillId="3" borderId="2" xfId="0" applyFont="1" applyFill="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7" fillId="0" borderId="5" xfId="0" applyFont="1" applyBorder="1" applyAlignment="1">
      <alignment horizontal="center"/>
    </xf>
    <xf numFmtId="0" fontId="3" fillId="6" borderId="0" xfId="0" applyFont="1" applyFill="1" applyAlignment="1">
      <alignment horizontal="left" vertical="top" wrapText="1"/>
    </xf>
    <xf numFmtId="0" fontId="13" fillId="0" borderId="0" xfId="0" applyFont="1" applyAlignment="1">
      <alignment horizontal="center"/>
    </xf>
    <xf numFmtId="0" fontId="8" fillId="6" borderId="6" xfId="0" applyFont="1" applyFill="1" applyBorder="1"/>
    <xf numFmtId="0" fontId="9" fillId="6" borderId="6" xfId="0" applyFont="1" applyFill="1" applyBorder="1" applyAlignment="1">
      <alignment horizontal="center"/>
    </xf>
    <xf numFmtId="0" fontId="16" fillId="6" borderId="1" xfId="0" applyFont="1" applyFill="1" applyBorder="1" applyAlignment="1">
      <alignment horizontal="center"/>
    </xf>
    <xf numFmtId="0" fontId="8" fillId="6" borderId="6" xfId="0" applyFont="1" applyFill="1" applyBorder="1" applyAlignment="1">
      <alignment horizontal="center"/>
    </xf>
    <xf numFmtId="0" fontId="9" fillId="6" borderId="6" xfId="0" applyFont="1" applyFill="1" applyBorder="1"/>
    <xf numFmtId="0" fontId="0" fillId="0" borderId="6" xfId="0" applyBorder="1" applyAlignment="1">
      <alignment horizontal="center"/>
    </xf>
    <xf numFmtId="10" fontId="0" fillId="0" borderId="6" xfId="1" applyNumberFormat="1" applyFont="1" applyBorder="1" applyAlignment="1">
      <alignment horizontal="center"/>
    </xf>
    <xf numFmtId="0" fontId="1" fillId="7" borderId="6" xfId="0" applyFont="1" applyFill="1" applyBorder="1"/>
    <xf numFmtId="0" fontId="1" fillId="6" borderId="6" xfId="0" applyFont="1" applyFill="1" applyBorder="1"/>
    <xf numFmtId="0" fontId="15" fillId="0" borderId="6" xfId="0" applyFont="1" applyBorder="1" applyAlignment="1">
      <alignment horizontal="left"/>
    </xf>
    <xf numFmtId="10" fontId="17" fillId="0" borderId="1" xfId="0" applyNumberFormat="1" applyFont="1" applyBorder="1" applyAlignment="1">
      <alignment horizontal="center"/>
    </xf>
    <xf numFmtId="10" fontId="10" fillId="0" borderId="1" xfId="1" applyNumberFormat="1" applyFont="1" applyBorder="1" applyAlignment="1">
      <alignment horizontal="center"/>
    </xf>
    <xf numFmtId="0" fontId="0" fillId="0" borderId="6" xfId="0" applyBorder="1" applyAlignment="1">
      <alignment horizontal="left"/>
    </xf>
    <xf numFmtId="10" fontId="10" fillId="0" borderId="7" xfId="0" applyNumberFormat="1" applyFont="1" applyBorder="1" applyAlignment="1">
      <alignment horizontal="center"/>
    </xf>
    <xf numFmtId="10" fontId="0" fillId="0" borderId="1" xfId="0" applyNumberFormat="1" applyBorder="1" applyAlignment="1">
      <alignment horizontal="center"/>
    </xf>
    <xf numFmtId="0" fontId="14" fillId="0" borderId="1" xfId="0" applyFont="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0" fontId="0" fillId="0" borderId="1" xfId="1" applyNumberFormat="1" applyFont="1" applyBorder="1" applyAlignment="1">
      <alignment horizontal="center"/>
    </xf>
    <xf numFmtId="10" fontId="0" fillId="0" borderId="0" xfId="0" applyNumberFormat="1"/>
    <xf numFmtId="0" fontId="14" fillId="0" borderId="0" xfId="0" applyFont="1" applyAlignment="1">
      <alignment horizontal="center"/>
    </xf>
    <xf numFmtId="10" fontId="18" fillId="0" borderId="1" xfId="1" applyNumberFormat="1" applyFont="1" applyBorder="1" applyAlignment="1">
      <alignment horizontal="center"/>
    </xf>
    <xf numFmtId="10" fontId="19" fillId="0" borderId="1" xfId="1" applyNumberFormat="1" applyFont="1" applyBorder="1" applyAlignment="1">
      <alignment horizontal="center"/>
    </xf>
  </cellXfs>
  <cellStyles count="2">
    <cellStyle name="Normal" xfId="0" builtinId="0"/>
    <cellStyle name="Percent" xfId="1"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icrosoft Office User" id="{37291F08-0F8C-ED4E-BD3D-A0F016509367}" userId="Microsoft Office U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personId="{37291F08-0F8C-ED4E-BD3D-A0F016509367}" id="{DB07E508-D46D-AD43-B233-19F4E6FF2127}">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tabSelected="1" workbookViewId="0">
      <selection activeCell="A5" sqref="A5"/>
    </sheetView>
  </sheetViews>
  <sheetFormatPr baseColWidth="10" defaultRowHeight="13"/>
  <cols>
    <col min="1" max="1" width="40.1640625" bestFit="1" customWidth="1"/>
    <col min="2" max="2" width="20.83203125" customWidth="1"/>
    <col min="3" max="3" width="10.83203125" style="26"/>
    <col min="8" max="8" width="19.5" bestFit="1" customWidth="1"/>
    <col min="12" max="12" width="18.1640625" bestFit="1" customWidth="1"/>
  </cols>
  <sheetData>
    <row r="1" spans="1:12" s="3" customFormat="1" ht="18">
      <c r="A1" s="3" t="s">
        <v>154</v>
      </c>
      <c r="B1" s="7"/>
      <c r="C1" s="18"/>
      <c r="H1" s="4"/>
    </row>
    <row r="2" spans="1:12" s="3" customFormat="1" ht="18">
      <c r="A2" s="3" t="s">
        <v>155</v>
      </c>
      <c r="B2" s="7"/>
      <c r="C2" s="18"/>
      <c r="H2" s="4"/>
    </row>
    <row r="3" spans="1:12" s="3" customFormat="1" ht="18">
      <c r="A3" s="33" t="s">
        <v>157</v>
      </c>
      <c r="B3" s="34"/>
      <c r="C3" s="34"/>
      <c r="D3" s="34"/>
      <c r="E3" s="35"/>
      <c r="G3" s="4"/>
    </row>
    <row r="4" spans="1:12" s="2" customFormat="1" ht="15" customHeight="1">
      <c r="A4" s="6" t="s">
        <v>103</v>
      </c>
      <c r="B4" s="6" t="s">
        <v>156</v>
      </c>
      <c r="C4" s="19" t="s">
        <v>129</v>
      </c>
      <c r="D4" s="6" t="s">
        <v>131</v>
      </c>
      <c r="E4" s="6" t="s">
        <v>130</v>
      </c>
    </row>
    <row r="5" spans="1:12" s="1" customFormat="1" ht="15" customHeight="1">
      <c r="A5" s="5" t="s">
        <v>128</v>
      </c>
      <c r="B5" s="5">
        <v>48421</v>
      </c>
      <c r="C5" s="20">
        <f>IF(B5=0,0,VLOOKUP(A5,'Country equity risk premiums'!$A$2:$D$196,4))</f>
        <v>4.4600000000000001E-2</v>
      </c>
      <c r="D5" s="16">
        <f>IF(B5&gt;0,B5/$B$24,)</f>
        <v>0.98977944032215204</v>
      </c>
      <c r="E5" s="16">
        <f t="shared" ref="E5:E13" si="0">IF(D5=0,0,C5*D5)</f>
        <v>4.4144163038367983E-2</v>
      </c>
      <c r="G5" s="37" t="s">
        <v>159</v>
      </c>
      <c r="H5" s="37"/>
      <c r="I5" s="37"/>
      <c r="J5" s="37"/>
      <c r="K5" s="37"/>
      <c r="L5" s="37"/>
    </row>
    <row r="6" spans="1:12" s="1" customFormat="1" ht="15" customHeight="1">
      <c r="A6" s="5" t="s">
        <v>209</v>
      </c>
      <c r="B6" s="5">
        <v>500</v>
      </c>
      <c r="C6" s="20">
        <f>IF(B6=0,0,VLOOKUP(A6,'Country equity risk premiums'!$A$2:$D$196,4))</f>
        <v>0.15889999999999999</v>
      </c>
      <c r="D6" s="16">
        <f t="shared" ref="D6:D23" si="1">IF(B6&gt;0,B6/$B$24,)</f>
        <v>1.0220559677847959E-2</v>
      </c>
      <c r="E6" s="16">
        <f t="shared" si="0"/>
        <v>1.6240469328100404E-3</v>
      </c>
      <c r="G6" s="37"/>
      <c r="H6" s="37"/>
      <c r="I6" s="37"/>
      <c r="J6" s="37"/>
      <c r="K6" s="37"/>
      <c r="L6" s="37"/>
    </row>
    <row r="7" spans="1:12" s="1" customFormat="1" ht="15" customHeight="1">
      <c r="A7" s="5"/>
      <c r="B7" s="5"/>
      <c r="C7" s="20"/>
      <c r="D7" s="16">
        <f t="shared" si="1"/>
        <v>0</v>
      </c>
      <c r="E7" s="16">
        <f t="shared" si="0"/>
        <v>0</v>
      </c>
      <c r="G7" s="37"/>
      <c r="H7" s="37"/>
      <c r="I7" s="37"/>
      <c r="J7" s="37"/>
      <c r="K7" s="37"/>
      <c r="L7" s="37"/>
    </row>
    <row r="8" spans="1:12" s="1" customFormat="1" ht="15" customHeight="1">
      <c r="A8" s="5"/>
      <c r="B8" s="5"/>
      <c r="C8" s="20"/>
      <c r="D8" s="16">
        <f t="shared" si="1"/>
        <v>0</v>
      </c>
      <c r="E8" s="16">
        <f t="shared" si="0"/>
        <v>0</v>
      </c>
      <c r="G8" s="37"/>
      <c r="H8" s="37"/>
      <c r="I8" s="37"/>
      <c r="J8" s="37"/>
      <c r="K8" s="37"/>
      <c r="L8" s="37"/>
    </row>
    <row r="9" spans="1:12" s="1" customFormat="1" ht="15" customHeight="1">
      <c r="A9" s="5"/>
      <c r="B9" s="5"/>
      <c r="C9" s="20"/>
      <c r="D9" s="16">
        <f t="shared" si="1"/>
        <v>0</v>
      </c>
      <c r="E9" s="16">
        <f t="shared" si="0"/>
        <v>0</v>
      </c>
      <c r="G9" s="37"/>
      <c r="H9" s="37"/>
      <c r="I9" s="37"/>
      <c r="J9" s="37"/>
      <c r="K9" s="37"/>
      <c r="L9" s="37"/>
    </row>
    <row r="10" spans="1:12" s="1" customFormat="1" ht="15" customHeight="1">
      <c r="A10" s="5"/>
      <c r="B10" s="5"/>
      <c r="C10" s="20"/>
      <c r="D10" s="16">
        <f t="shared" si="1"/>
        <v>0</v>
      </c>
      <c r="E10" s="16">
        <f t="shared" si="0"/>
        <v>0</v>
      </c>
      <c r="G10" s="37"/>
      <c r="H10" s="37"/>
      <c r="I10" s="37"/>
      <c r="J10" s="37"/>
      <c r="K10" s="37"/>
      <c r="L10" s="37"/>
    </row>
    <row r="11" spans="1:12" s="1" customFormat="1" ht="15" customHeight="1">
      <c r="A11" s="5"/>
      <c r="B11" s="5"/>
      <c r="C11" s="20"/>
      <c r="D11" s="16">
        <f t="shared" si="1"/>
        <v>0</v>
      </c>
      <c r="E11" s="16">
        <f t="shared" si="0"/>
        <v>0</v>
      </c>
      <c r="G11" s="37"/>
      <c r="H11" s="37"/>
      <c r="I11" s="37"/>
      <c r="J11" s="37"/>
      <c r="K11" s="37"/>
      <c r="L11" s="37"/>
    </row>
    <row r="12" spans="1:12" s="1" customFormat="1" ht="15" customHeight="1">
      <c r="A12" s="5"/>
      <c r="B12" s="5"/>
      <c r="C12" s="20"/>
      <c r="D12" s="16">
        <f t="shared" si="1"/>
        <v>0</v>
      </c>
      <c r="E12" s="16">
        <f t="shared" si="0"/>
        <v>0</v>
      </c>
      <c r="G12" s="37"/>
      <c r="H12" s="37"/>
      <c r="I12" s="37"/>
      <c r="J12" s="37"/>
      <c r="K12" s="37"/>
      <c r="L12" s="37"/>
    </row>
    <row r="13" spans="1:12" s="1" customFormat="1" ht="15" customHeight="1">
      <c r="A13" s="5"/>
      <c r="B13" s="5"/>
      <c r="C13" s="20"/>
      <c r="D13" s="16">
        <f t="shared" si="1"/>
        <v>0</v>
      </c>
      <c r="E13" s="16">
        <f t="shared" si="0"/>
        <v>0</v>
      </c>
    </row>
    <row r="14" spans="1:12" s="1" customFormat="1" ht="15" customHeight="1">
      <c r="A14" s="5"/>
      <c r="B14" s="5"/>
      <c r="C14" s="20"/>
      <c r="D14" s="16">
        <f t="shared" si="1"/>
        <v>0</v>
      </c>
      <c r="E14" s="16">
        <f>IF(D14=0,0,C14*D14)</f>
        <v>0</v>
      </c>
    </row>
    <row r="15" spans="1:12" s="1" customFormat="1" ht="15" customHeight="1">
      <c r="A15" s="5"/>
      <c r="B15" s="5"/>
      <c r="C15" s="20"/>
      <c r="D15" s="16">
        <f t="shared" si="1"/>
        <v>0</v>
      </c>
      <c r="E15" s="16">
        <f>IF(D15=0,0,C15*D15)</f>
        <v>0</v>
      </c>
    </row>
    <row r="16" spans="1:12" s="1" customFormat="1" ht="15" customHeight="1">
      <c r="A16" s="5"/>
      <c r="B16" s="5"/>
      <c r="C16" s="20"/>
      <c r="D16" s="16">
        <f t="shared" si="1"/>
        <v>0</v>
      </c>
      <c r="E16" s="16">
        <f t="shared" ref="E16:E23" si="2">IF(D16=0,0,C16*D16)</f>
        <v>0</v>
      </c>
    </row>
    <row r="17" spans="1:5" s="1" customFormat="1" ht="15" customHeight="1">
      <c r="A17" s="5"/>
      <c r="B17" s="5"/>
      <c r="C17" s="20"/>
      <c r="D17" s="16">
        <f t="shared" si="1"/>
        <v>0</v>
      </c>
      <c r="E17" s="16">
        <f t="shared" si="2"/>
        <v>0</v>
      </c>
    </row>
    <row r="18" spans="1:5" s="1" customFormat="1" ht="15" customHeight="1">
      <c r="A18" s="5"/>
      <c r="B18" s="5"/>
      <c r="C18" s="20"/>
      <c r="D18" s="16">
        <f t="shared" si="1"/>
        <v>0</v>
      </c>
      <c r="E18" s="16">
        <f t="shared" si="2"/>
        <v>0</v>
      </c>
    </row>
    <row r="19" spans="1:5" s="1" customFormat="1" ht="15" customHeight="1">
      <c r="A19" s="5"/>
      <c r="B19" s="5"/>
      <c r="C19" s="20"/>
      <c r="D19" s="16">
        <f t="shared" si="1"/>
        <v>0</v>
      </c>
      <c r="E19" s="16">
        <f t="shared" si="2"/>
        <v>0</v>
      </c>
    </row>
    <row r="20" spans="1:5" s="1" customFormat="1" ht="15" customHeight="1">
      <c r="A20" s="5"/>
      <c r="B20" s="5"/>
      <c r="C20" s="20"/>
      <c r="D20" s="16">
        <f t="shared" si="1"/>
        <v>0</v>
      </c>
      <c r="E20" s="16">
        <f t="shared" si="2"/>
        <v>0</v>
      </c>
    </row>
    <row r="21" spans="1:5" s="1" customFormat="1" ht="15" customHeight="1">
      <c r="A21" s="5"/>
      <c r="B21" s="5"/>
      <c r="C21" s="20"/>
      <c r="D21" s="16">
        <f t="shared" si="1"/>
        <v>0</v>
      </c>
      <c r="E21" s="16">
        <f t="shared" si="2"/>
        <v>0</v>
      </c>
    </row>
    <row r="22" spans="1:5" s="1" customFormat="1" ht="15" customHeight="1">
      <c r="A22" s="11"/>
      <c r="B22" s="5"/>
      <c r="C22" s="21"/>
      <c r="D22" s="16">
        <f t="shared" si="1"/>
        <v>0</v>
      </c>
      <c r="E22" s="16">
        <f t="shared" si="2"/>
        <v>0</v>
      </c>
    </row>
    <row r="23" spans="1:5" s="1" customFormat="1" ht="15" customHeight="1">
      <c r="A23" s="10"/>
      <c r="B23" s="5"/>
      <c r="C23" s="21"/>
      <c r="D23" s="16">
        <f t="shared" si="1"/>
        <v>0</v>
      </c>
      <c r="E23" s="16">
        <f t="shared" si="2"/>
        <v>0</v>
      </c>
    </row>
    <row r="24" spans="1:5" s="1" customFormat="1" ht="15" customHeight="1">
      <c r="A24" s="12" t="s">
        <v>132</v>
      </c>
      <c r="B24" s="12">
        <f>SUM(B5:B23)</f>
        <v>48921</v>
      </c>
      <c r="C24" s="22"/>
      <c r="D24" s="13">
        <f>SUM(D5:D23)</f>
        <v>1</v>
      </c>
      <c r="E24" s="13">
        <f>SUM(E5:E23)</f>
        <v>4.5768209971178024E-2</v>
      </c>
    </row>
    <row r="25" spans="1:5" s="8" customFormat="1" ht="15" customHeight="1">
      <c r="C25" s="23"/>
      <c r="D25" s="9"/>
      <c r="E25" s="9"/>
    </row>
    <row r="26" spans="1:5" s="1" customFormat="1" ht="15" customHeight="1">
      <c r="A26" s="36" t="s">
        <v>158</v>
      </c>
      <c r="B26" s="36"/>
      <c r="C26" s="36"/>
      <c r="D26" s="36"/>
      <c r="E26" s="36"/>
    </row>
    <row r="27" spans="1:5" s="2" customFormat="1" ht="15" customHeight="1">
      <c r="A27" s="6" t="s">
        <v>106</v>
      </c>
      <c r="B27" s="6" t="s">
        <v>156</v>
      </c>
      <c r="C27" s="19" t="s">
        <v>129</v>
      </c>
      <c r="D27" s="6" t="s">
        <v>131</v>
      </c>
      <c r="E27" s="6" t="s">
        <v>130</v>
      </c>
    </row>
    <row r="28" spans="1:5" s="1" customFormat="1" ht="15" customHeight="1">
      <c r="A28" s="12" t="str">
        <f>'Country equity risk premiums'!A201</f>
        <v>Africa</v>
      </c>
      <c r="B28" s="5">
        <v>0</v>
      </c>
      <c r="C28" s="24">
        <f>'Country equity risk premiums'!B201</f>
        <v>0.11949308050536839</v>
      </c>
      <c r="D28" s="13">
        <f>B28/$B$39</f>
        <v>0</v>
      </c>
      <c r="E28" s="14">
        <f>C28*D28</f>
        <v>0</v>
      </c>
    </row>
    <row r="29" spans="1:5" s="1" customFormat="1" ht="15" customHeight="1">
      <c r="A29" s="12" t="str">
        <f>'Country equity risk premiums'!A202</f>
        <v>Asia</v>
      </c>
      <c r="B29" s="5">
        <f>3159+4281</f>
        <v>7440</v>
      </c>
      <c r="C29" s="24">
        <f>'Country equity risk premiums'!B202</f>
        <v>5.7223235648452254E-2</v>
      </c>
      <c r="D29" s="13">
        <f t="shared" ref="D29:D39" si="3">B29/$B$39</f>
        <v>4.9063248066156251E-2</v>
      </c>
      <c r="E29" s="14">
        <f t="shared" ref="E29:E36" si="4">C29*D29</f>
        <v>2.8075578057681285E-3</v>
      </c>
    </row>
    <row r="30" spans="1:5" s="1" customFormat="1" ht="15" customHeight="1">
      <c r="A30" s="12" t="str">
        <f>'Country equity risk premiums'!A203</f>
        <v>Australia &amp; New Zealand</v>
      </c>
      <c r="B30" s="5"/>
      <c r="C30" s="24">
        <f>'Country equity risk premiums'!B203</f>
        <v>4.2340821732004208E-2</v>
      </c>
      <c r="D30" s="13">
        <f t="shared" si="3"/>
        <v>0</v>
      </c>
      <c r="E30" s="14">
        <f t="shared" si="4"/>
        <v>0</v>
      </c>
    </row>
    <row r="31" spans="1:5" s="1" customFormat="1" ht="15" customHeight="1">
      <c r="A31" s="12" t="str">
        <f>'Country equity risk premiums'!A204</f>
        <v>Caribbean</v>
      </c>
      <c r="B31" s="5">
        <v>0</v>
      </c>
      <c r="C31" s="24">
        <f>'Country equity risk premiums'!B204</f>
        <v>0.117176823349771</v>
      </c>
      <c r="D31" s="13">
        <f t="shared" si="3"/>
        <v>0</v>
      </c>
      <c r="E31" s="14">
        <f t="shared" si="4"/>
        <v>0</v>
      </c>
    </row>
    <row r="32" spans="1:5" s="1" customFormat="1" ht="15" customHeight="1">
      <c r="A32" s="12" t="str">
        <f>'Country equity risk premiums'!A205</f>
        <v>Central and South America</v>
      </c>
      <c r="B32" s="5">
        <v>0</v>
      </c>
      <c r="C32" s="24">
        <f>'Country equity risk premiums'!B205</f>
        <v>8.4628496206189827E-2</v>
      </c>
      <c r="D32" s="13">
        <f t="shared" si="3"/>
        <v>0</v>
      </c>
      <c r="E32" s="14">
        <f t="shared" si="4"/>
        <v>0</v>
      </c>
    </row>
    <row r="33" spans="1:5" s="1" customFormat="1" ht="15" customHeight="1">
      <c r="A33" s="12" t="str">
        <f>'Country equity risk premiums'!A206</f>
        <v>Eastern Europe</v>
      </c>
      <c r="B33" s="5"/>
      <c r="C33" s="24">
        <f>'Country equity risk premiums'!B206</f>
        <v>7.5777091018450746E-2</v>
      </c>
      <c r="D33" s="13">
        <f t="shared" si="3"/>
        <v>0</v>
      </c>
      <c r="E33" s="14">
        <f t="shared" si="4"/>
        <v>0</v>
      </c>
    </row>
    <row r="34" spans="1:5" s="1" customFormat="1" ht="15" customHeight="1">
      <c r="A34" s="12" t="str">
        <f>'Country equity risk premiums'!A207</f>
        <v>Middle East</v>
      </c>
      <c r="B34" s="5">
        <v>0</v>
      </c>
      <c r="C34" s="24">
        <f>'Country equity risk premiums'!B207</f>
        <v>6.2366864403681901E-2</v>
      </c>
      <c r="D34" s="13">
        <f t="shared" si="3"/>
        <v>0</v>
      </c>
      <c r="E34" s="14">
        <f t="shared" si="4"/>
        <v>0</v>
      </c>
    </row>
    <row r="35" spans="1:5" s="1" customFormat="1" ht="15" customHeight="1">
      <c r="A35" s="12" t="str">
        <f>'Country equity risk premiums'!A208</f>
        <v>North America</v>
      </c>
      <c r="B35" s="5">
        <v>93864</v>
      </c>
      <c r="C35" s="24">
        <f>'Country equity risk premiums'!B208</f>
        <v>4.4464748784794041E-2</v>
      </c>
      <c r="D35" s="13">
        <f t="shared" si="3"/>
        <v>0.6189882683443132</v>
      </c>
      <c r="E35" s="14">
        <f t="shared" si="4"/>
        <v>2.7523157852664567E-2</v>
      </c>
    </row>
    <row r="36" spans="1:5" s="1" customFormat="1" ht="15" customHeight="1">
      <c r="A36" s="12" t="str">
        <f>'Country equity risk premiums'!A209</f>
        <v>Western Europe</v>
      </c>
      <c r="B36" s="5">
        <v>50337</v>
      </c>
      <c r="C36" s="24">
        <f>'Country equity risk premiums'!B209</f>
        <v>5.2665467678857734E-2</v>
      </c>
      <c r="D36" s="13">
        <f t="shared" si="3"/>
        <v>0.33194848358953055</v>
      </c>
      <c r="E36" s="14">
        <f t="shared" si="4"/>
        <v>1.7482222133530258E-2</v>
      </c>
    </row>
    <row r="37" spans="1:5" s="1" customFormat="1" ht="15" customHeight="1">
      <c r="A37" s="5"/>
      <c r="B37" s="5"/>
      <c r="C37" s="25"/>
      <c r="D37" s="13">
        <f>B37/$B$39</f>
        <v>0</v>
      </c>
      <c r="E37" s="14">
        <f>C37*D37</f>
        <v>0</v>
      </c>
    </row>
    <row r="38" spans="1:5" s="1" customFormat="1" ht="15" customHeight="1">
      <c r="A38" s="5"/>
      <c r="B38" s="5"/>
      <c r="C38" s="25"/>
      <c r="D38" s="13">
        <f>B38/$B$39</f>
        <v>0</v>
      </c>
      <c r="E38" s="14">
        <f>C38*D38</f>
        <v>0</v>
      </c>
    </row>
    <row r="39" spans="1:5" s="1" customFormat="1" ht="15" customHeight="1">
      <c r="A39" s="12" t="s">
        <v>132</v>
      </c>
      <c r="B39" s="12">
        <f>SUM(B28:B38)</f>
        <v>151641</v>
      </c>
      <c r="C39" s="24"/>
      <c r="D39" s="13">
        <f t="shared" si="3"/>
        <v>1</v>
      </c>
      <c r="E39" s="15">
        <f>SUM(E28:E38)</f>
        <v>4.7812937791962953E-2</v>
      </c>
    </row>
  </sheetData>
  <mergeCells count="3">
    <mergeCell ref="A3:E3"/>
    <mergeCell ref="A26:E26"/>
    <mergeCell ref="G5:L12"/>
  </mergeCells>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5ADB3CC3-00BA-5D42-8A0C-74EC01206FDD}">
          <x14:formula1>
            <xm:f>'Country equity risk premiums'!$A$5:$A$196</xm:f>
          </x14:formula1>
          <xm:sqref>A5:A21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8"/>
  <sheetViews>
    <sheetView workbookViewId="0">
      <selection sqref="A1:F1048576"/>
    </sheetView>
  </sheetViews>
  <sheetFormatPr baseColWidth="10" defaultRowHeight="13"/>
  <cols>
    <col min="1" max="1" width="27.5" bestFit="1" customWidth="1"/>
    <col min="2" max="2" width="15" bestFit="1" customWidth="1"/>
    <col min="3" max="3" width="18.5" bestFit="1" customWidth="1"/>
    <col min="4" max="4" width="21" style="26" bestFit="1" customWidth="1"/>
    <col min="5" max="5" width="20" bestFit="1" customWidth="1"/>
    <col min="6" max="6" width="17.6640625" bestFit="1" customWidth="1"/>
    <col min="7" max="7" width="29.6640625" customWidth="1"/>
  </cols>
  <sheetData>
    <row r="1" spans="1:6">
      <c r="A1" t="s">
        <v>210</v>
      </c>
      <c r="B1" s="17">
        <v>4.2299999999999997E-2</v>
      </c>
      <c r="C1" t="s">
        <v>247</v>
      </c>
    </row>
    <row r="2" spans="1:6" ht="14">
      <c r="A2" s="27" t="s">
        <v>215</v>
      </c>
      <c r="B2" s="27"/>
      <c r="C2" s="27"/>
      <c r="D2" s="38"/>
      <c r="E2" s="27"/>
      <c r="F2" s="27"/>
    </row>
    <row r="4" spans="1:6" ht="16">
      <c r="A4" s="39" t="s">
        <v>103</v>
      </c>
      <c r="B4" s="40" t="s">
        <v>163</v>
      </c>
      <c r="C4" s="41" t="s">
        <v>104</v>
      </c>
      <c r="D4" s="28" t="s">
        <v>164</v>
      </c>
      <c r="E4" s="42" t="s">
        <v>105</v>
      </c>
      <c r="F4" s="42" t="s">
        <v>153</v>
      </c>
    </row>
    <row r="5" spans="1:6" ht="16">
      <c r="A5" s="43" t="s">
        <v>137</v>
      </c>
      <c r="B5" s="44" t="s">
        <v>165</v>
      </c>
      <c r="C5" s="29">
        <v>4.1999999999999997E-3</v>
      </c>
      <c r="D5" s="29">
        <f>$B$1+E5</f>
        <v>4.87E-2</v>
      </c>
      <c r="E5" s="30">
        <v>6.4000000000000003E-3</v>
      </c>
      <c r="F5" s="45">
        <v>0.09</v>
      </c>
    </row>
    <row r="6" spans="1:6" ht="16">
      <c r="A6" s="43" t="s">
        <v>0</v>
      </c>
      <c r="B6" s="44" t="s">
        <v>175</v>
      </c>
      <c r="C6" s="29">
        <v>3.0599999999999999E-2</v>
      </c>
      <c r="D6" s="29">
        <f t="shared" ref="D6:D69" si="0">$B$1+E6</f>
        <v>8.8900000000000007E-2</v>
      </c>
      <c r="E6" s="30">
        <v>4.6600000000000003E-2</v>
      </c>
      <c r="F6" s="45">
        <v>0.15</v>
      </c>
    </row>
    <row r="7" spans="1:6" ht="16">
      <c r="A7" s="46" t="s">
        <v>167</v>
      </c>
      <c r="B7" s="44" t="s">
        <v>220</v>
      </c>
      <c r="C7" s="29">
        <v>3.8300000000000001E-2</v>
      </c>
      <c r="D7" s="29">
        <f t="shared" si="0"/>
        <v>0.10059999999999999</v>
      </c>
      <c r="E7" s="30">
        <v>5.8299999999999998E-2</v>
      </c>
      <c r="F7" s="45">
        <v>0.1007</v>
      </c>
    </row>
    <row r="8" spans="1:6" ht="16">
      <c r="A8" s="43" t="s">
        <v>147</v>
      </c>
      <c r="B8" s="44" t="s">
        <v>170</v>
      </c>
      <c r="C8" s="29">
        <v>1.3599999999999999E-2</v>
      </c>
      <c r="D8" s="29">
        <f t="shared" si="0"/>
        <v>6.3E-2</v>
      </c>
      <c r="E8" s="30">
        <v>2.07E-2</v>
      </c>
      <c r="F8" s="45">
        <v>0.1</v>
      </c>
    </row>
    <row r="9" spans="1:6" ht="16">
      <c r="A9" s="43" t="s">
        <v>1</v>
      </c>
      <c r="B9" s="44" t="s">
        <v>178</v>
      </c>
      <c r="C9" s="29">
        <v>5.5199999999999999E-2</v>
      </c>
      <c r="D9" s="29">
        <f t="shared" si="0"/>
        <v>0.12639999999999998</v>
      </c>
      <c r="E9" s="30">
        <v>8.4099999999999994E-2</v>
      </c>
      <c r="F9" s="45">
        <v>0.25</v>
      </c>
    </row>
    <row r="10" spans="1:6" ht="16">
      <c r="A10" s="43" t="s">
        <v>222</v>
      </c>
      <c r="B10" s="44" t="s">
        <v>220</v>
      </c>
      <c r="C10" s="29">
        <v>4.9151830261848689E-2</v>
      </c>
      <c r="D10" s="29">
        <f t="shared" si="0"/>
        <v>0.117176823349771</v>
      </c>
      <c r="E10" s="30">
        <v>7.4876823349770999E-2</v>
      </c>
      <c r="F10" s="45">
        <v>0.26526547543374851</v>
      </c>
    </row>
    <row r="11" spans="1:6" ht="16">
      <c r="A11" s="43" t="s">
        <v>223</v>
      </c>
      <c r="B11" s="44" t="s">
        <v>220</v>
      </c>
      <c r="C11" s="29">
        <v>2.7785941866780777E-2</v>
      </c>
      <c r="D11" s="29">
        <f t="shared" si="0"/>
        <v>8.4628496206189827E-2</v>
      </c>
      <c r="E11" s="30">
        <v>4.2328496206189829E-2</v>
      </c>
      <c r="F11" s="45">
        <v>0.31546691365656965</v>
      </c>
    </row>
    <row r="12" spans="1:6" ht="16">
      <c r="A12" s="43" t="s">
        <v>2</v>
      </c>
      <c r="B12" s="44" t="s">
        <v>176</v>
      </c>
      <c r="C12" s="29">
        <v>6.3700000000000007E-2</v>
      </c>
      <c r="D12" s="29">
        <f t="shared" si="0"/>
        <v>0.1394</v>
      </c>
      <c r="E12" s="30">
        <v>9.7100000000000006E-2</v>
      </c>
      <c r="F12" s="45">
        <v>0.35</v>
      </c>
    </row>
    <row r="13" spans="1:6" ht="16">
      <c r="A13" s="43" t="s">
        <v>3</v>
      </c>
      <c r="B13" s="44" t="s">
        <v>175</v>
      </c>
      <c r="C13" s="29">
        <v>3.0599999999999999E-2</v>
      </c>
      <c r="D13" s="29">
        <f t="shared" si="0"/>
        <v>8.8900000000000007E-2</v>
      </c>
      <c r="E13" s="30">
        <v>4.6600000000000003E-2</v>
      </c>
      <c r="F13" s="45">
        <v>0.18</v>
      </c>
    </row>
    <row r="14" spans="1:6" ht="16">
      <c r="A14" s="43" t="s">
        <v>4</v>
      </c>
      <c r="B14" s="44" t="s">
        <v>174</v>
      </c>
      <c r="C14" s="29">
        <v>1.8700000000000001E-2</v>
      </c>
      <c r="D14" s="29">
        <f t="shared" si="0"/>
        <v>7.0800000000000002E-2</v>
      </c>
      <c r="E14" s="30">
        <v>2.8500000000000001E-2</v>
      </c>
      <c r="F14" s="45">
        <v>0.22</v>
      </c>
    </row>
    <row r="15" spans="1:6" ht="16">
      <c r="A15" s="43" t="s">
        <v>5</v>
      </c>
      <c r="B15" s="44" t="s">
        <v>171</v>
      </c>
      <c r="C15" s="29">
        <v>0</v>
      </c>
      <c r="D15" s="29">
        <f t="shared" si="0"/>
        <v>4.2299999999999997E-2</v>
      </c>
      <c r="E15" s="30">
        <v>0</v>
      </c>
      <c r="F15" s="45">
        <v>0.3</v>
      </c>
    </row>
    <row r="16" spans="1:6" ht="16">
      <c r="A16" s="43" t="s">
        <v>6</v>
      </c>
      <c r="B16" s="44" t="s">
        <v>172</v>
      </c>
      <c r="C16" s="29">
        <v>2.3E-3</v>
      </c>
      <c r="D16" s="29">
        <f t="shared" si="0"/>
        <v>4.5899999999999996E-2</v>
      </c>
      <c r="E16" s="30">
        <v>3.5999999999999999E-3</v>
      </c>
      <c r="F16" s="45">
        <v>0.23</v>
      </c>
    </row>
    <row r="17" spans="1:6" ht="16">
      <c r="A17" s="43" t="s">
        <v>111</v>
      </c>
      <c r="B17" s="44" t="s">
        <v>174</v>
      </c>
      <c r="C17" s="29">
        <v>1.8700000000000001E-2</v>
      </c>
      <c r="D17" s="29">
        <f t="shared" si="0"/>
        <v>7.0800000000000002E-2</v>
      </c>
      <c r="E17" s="30">
        <v>2.8500000000000001E-2</v>
      </c>
      <c r="F17" s="45">
        <v>0.2</v>
      </c>
    </row>
    <row r="18" spans="1:6" ht="16">
      <c r="A18" s="43" t="s">
        <v>7</v>
      </c>
      <c r="B18" s="44" t="s">
        <v>166</v>
      </c>
      <c r="C18" s="29">
        <v>3.8300000000000001E-2</v>
      </c>
      <c r="D18" s="29">
        <f t="shared" si="0"/>
        <v>0.10059999999999999</v>
      </c>
      <c r="E18" s="30">
        <v>5.8299999999999998E-2</v>
      </c>
      <c r="F18" s="45">
        <v>0</v>
      </c>
    </row>
    <row r="19" spans="1:6" ht="16">
      <c r="A19" s="43" t="s">
        <v>8</v>
      </c>
      <c r="B19" s="44" t="s">
        <v>169</v>
      </c>
      <c r="C19" s="29">
        <v>4.6699999999999998E-2</v>
      </c>
      <c r="D19" s="29">
        <f t="shared" si="0"/>
        <v>0.11349999999999999</v>
      </c>
      <c r="E19" s="30">
        <v>7.1199999999999999E-2</v>
      </c>
      <c r="F19" s="45">
        <v>0</v>
      </c>
    </row>
    <row r="20" spans="1:6" ht="16">
      <c r="A20" s="43" t="s">
        <v>9</v>
      </c>
      <c r="B20" s="44" t="s">
        <v>169</v>
      </c>
      <c r="C20" s="29">
        <v>4.6699999999999998E-2</v>
      </c>
      <c r="D20" s="29">
        <f t="shared" si="0"/>
        <v>0.11349999999999999</v>
      </c>
      <c r="E20" s="30">
        <v>7.1199999999999999E-2</v>
      </c>
      <c r="F20" s="45">
        <v>0.27500000000000002</v>
      </c>
    </row>
    <row r="21" spans="1:6" ht="16">
      <c r="A21" s="43" t="s">
        <v>10</v>
      </c>
      <c r="B21" s="44" t="s">
        <v>169</v>
      </c>
      <c r="C21" s="29">
        <v>4.6699999999999998E-2</v>
      </c>
      <c r="D21" s="29">
        <f t="shared" si="0"/>
        <v>0.11349999999999999</v>
      </c>
      <c r="E21" s="30">
        <v>7.1199999999999999E-2</v>
      </c>
      <c r="F21" s="45">
        <v>0.09</v>
      </c>
    </row>
    <row r="22" spans="1:6" ht="16">
      <c r="A22" s="43" t="s">
        <v>11</v>
      </c>
      <c r="B22" s="44" t="s">
        <v>211</v>
      </c>
      <c r="C22" s="29">
        <v>0.17499999999999999</v>
      </c>
      <c r="D22" s="29">
        <f t="shared" si="0"/>
        <v>0.30890000000000001</v>
      </c>
      <c r="E22" s="30">
        <v>0.2666</v>
      </c>
      <c r="F22" s="45">
        <v>0.25</v>
      </c>
    </row>
    <row r="23" spans="1:6" ht="16">
      <c r="A23" s="43" t="s">
        <v>12</v>
      </c>
      <c r="B23" s="44" t="s">
        <v>177</v>
      </c>
      <c r="C23" s="29">
        <v>5.1000000000000004E-3</v>
      </c>
      <c r="D23" s="29">
        <f t="shared" si="0"/>
        <v>5.0099999999999999E-2</v>
      </c>
      <c r="E23" s="30">
        <v>7.7999999999999996E-3</v>
      </c>
      <c r="F23" s="45">
        <v>0.25</v>
      </c>
    </row>
    <row r="24" spans="1:6" ht="16">
      <c r="A24" s="43" t="s">
        <v>114</v>
      </c>
      <c r="B24" s="44" t="s">
        <v>176</v>
      </c>
      <c r="C24" s="29">
        <v>6.3700000000000007E-2</v>
      </c>
      <c r="D24" s="29">
        <f t="shared" si="0"/>
        <v>0.1394</v>
      </c>
      <c r="E24" s="30">
        <v>9.7100000000000006E-2</v>
      </c>
      <c r="F24" s="45">
        <v>0</v>
      </c>
    </row>
    <row r="25" spans="1:6" ht="16">
      <c r="A25" s="43" t="s">
        <v>179</v>
      </c>
      <c r="B25" s="44" t="s">
        <v>166</v>
      </c>
      <c r="C25" s="29">
        <v>3.8300000000000001E-2</v>
      </c>
      <c r="D25" s="29">
        <f t="shared" si="0"/>
        <v>0.10059999999999999</v>
      </c>
      <c r="E25" s="30">
        <v>5.8299999999999998E-2</v>
      </c>
      <c r="F25" s="45">
        <v>0.3</v>
      </c>
    </row>
    <row r="26" spans="1:6" ht="16">
      <c r="A26" s="43" t="s">
        <v>13</v>
      </c>
      <c r="B26" s="44" t="s">
        <v>180</v>
      </c>
      <c r="C26" s="29">
        <v>7.1999999999999998E-3</v>
      </c>
      <c r="D26" s="29">
        <f t="shared" si="0"/>
        <v>5.33E-2</v>
      </c>
      <c r="E26" s="30">
        <v>1.0999999999999999E-2</v>
      </c>
      <c r="F26" s="45">
        <v>0</v>
      </c>
    </row>
    <row r="27" spans="1:6" ht="16">
      <c r="A27" s="43" t="s">
        <v>14</v>
      </c>
      <c r="B27" s="44" t="s">
        <v>213</v>
      </c>
      <c r="C27" s="29">
        <v>0.10199999999999999</v>
      </c>
      <c r="D27" s="29">
        <f t="shared" si="0"/>
        <v>0.19770000000000001</v>
      </c>
      <c r="E27" s="30">
        <v>0.15540000000000001</v>
      </c>
      <c r="F27" s="45">
        <v>0.25</v>
      </c>
    </row>
    <row r="28" spans="1:6" ht="16">
      <c r="A28" s="43" t="s">
        <v>15</v>
      </c>
      <c r="B28" s="44" t="s">
        <v>178</v>
      </c>
      <c r="C28" s="29">
        <v>5.5199999999999999E-2</v>
      </c>
      <c r="D28" s="29">
        <f t="shared" si="0"/>
        <v>0.12639999999999998</v>
      </c>
      <c r="E28" s="30">
        <v>8.4099999999999994E-2</v>
      </c>
      <c r="F28" s="45">
        <v>0.1</v>
      </c>
    </row>
    <row r="29" spans="1:6" ht="16">
      <c r="A29" s="43" t="s">
        <v>16</v>
      </c>
      <c r="B29" s="44" t="s">
        <v>170</v>
      </c>
      <c r="C29" s="29">
        <v>1.3599999999999999E-2</v>
      </c>
      <c r="D29" s="29">
        <f t="shared" si="0"/>
        <v>6.3E-2</v>
      </c>
      <c r="E29" s="30">
        <v>2.07E-2</v>
      </c>
      <c r="F29" s="45">
        <v>0.22</v>
      </c>
    </row>
    <row r="30" spans="1:6" ht="16">
      <c r="A30" s="43" t="s">
        <v>17</v>
      </c>
      <c r="B30" s="44" t="s">
        <v>186</v>
      </c>
      <c r="C30" s="29">
        <v>2.1299999999999999E-2</v>
      </c>
      <c r="D30" s="29">
        <f t="shared" si="0"/>
        <v>7.4699999999999989E-2</v>
      </c>
      <c r="E30" s="30">
        <v>3.2399999999999998E-2</v>
      </c>
      <c r="F30" s="45">
        <v>0.34</v>
      </c>
    </row>
    <row r="31" spans="1:6" ht="16">
      <c r="A31" s="43" t="s">
        <v>224</v>
      </c>
      <c r="B31" s="44" t="s">
        <v>220</v>
      </c>
      <c r="C31" s="29">
        <v>4.9151830261848689E-2</v>
      </c>
      <c r="D31" s="29">
        <f t="shared" si="0"/>
        <v>0.117176823349771</v>
      </c>
      <c r="E31" s="30">
        <v>7.4876823349770999E-2</v>
      </c>
      <c r="F31" s="45">
        <v>0.26526547543374851</v>
      </c>
    </row>
    <row r="32" spans="1:6" ht="16">
      <c r="A32" s="47" t="s">
        <v>181</v>
      </c>
      <c r="B32" s="44" t="s">
        <v>220</v>
      </c>
      <c r="C32" s="29">
        <v>5.1000000000000004E-3</v>
      </c>
      <c r="D32" s="29">
        <f t="shared" si="0"/>
        <v>5.0099999999999999E-2</v>
      </c>
      <c r="E32" s="30">
        <v>7.7999999999999996E-3</v>
      </c>
      <c r="F32" s="45">
        <v>5.0200000000000002E-2</v>
      </c>
    </row>
    <row r="33" spans="1:6" ht="16">
      <c r="A33" s="43" t="s">
        <v>18</v>
      </c>
      <c r="B33" s="44" t="s">
        <v>170</v>
      </c>
      <c r="C33" s="29">
        <v>1.3599999999999999E-2</v>
      </c>
      <c r="D33" s="29">
        <f t="shared" si="0"/>
        <v>6.3E-2</v>
      </c>
      <c r="E33" s="30">
        <v>2.07E-2</v>
      </c>
      <c r="F33" s="45">
        <v>0.1</v>
      </c>
    </row>
    <row r="34" spans="1:6" ht="16">
      <c r="A34" s="43" t="s">
        <v>138</v>
      </c>
      <c r="B34" s="44" t="s">
        <v>176</v>
      </c>
      <c r="C34" s="29">
        <v>6.3700000000000007E-2</v>
      </c>
      <c r="D34" s="29">
        <f t="shared" si="0"/>
        <v>0.1394</v>
      </c>
      <c r="E34" s="30">
        <v>9.7100000000000006E-2</v>
      </c>
      <c r="F34" s="45">
        <v>0.27500000000000002</v>
      </c>
    </row>
    <row r="35" spans="1:6" ht="16">
      <c r="A35" s="43" t="s">
        <v>19</v>
      </c>
      <c r="B35" s="44" t="s">
        <v>169</v>
      </c>
      <c r="C35" s="29">
        <v>4.6699999999999998E-2</v>
      </c>
      <c r="D35" s="29">
        <f t="shared" si="0"/>
        <v>0.11349999999999999</v>
      </c>
      <c r="E35" s="30">
        <v>7.1199999999999999E-2</v>
      </c>
      <c r="F35" s="45">
        <v>0.2</v>
      </c>
    </row>
    <row r="36" spans="1:6" ht="16">
      <c r="A36" s="43" t="s">
        <v>139</v>
      </c>
      <c r="B36" s="44" t="s">
        <v>176</v>
      </c>
      <c r="C36" s="29">
        <v>6.3700000000000007E-2</v>
      </c>
      <c r="D36" s="29">
        <f t="shared" si="0"/>
        <v>0.1394</v>
      </c>
      <c r="E36" s="30">
        <v>9.7100000000000006E-2</v>
      </c>
      <c r="F36" s="45">
        <v>0.33</v>
      </c>
    </row>
    <row r="37" spans="1:6" ht="16">
      <c r="A37" s="43" t="s">
        <v>20</v>
      </c>
      <c r="B37" s="44" t="s">
        <v>171</v>
      </c>
      <c r="C37" s="29">
        <v>0</v>
      </c>
      <c r="D37" s="29">
        <f t="shared" si="0"/>
        <v>4.2299999999999997E-2</v>
      </c>
      <c r="E37" s="30">
        <v>0</v>
      </c>
      <c r="F37" s="45">
        <v>0.26140000000000002</v>
      </c>
    </row>
    <row r="38" spans="1:6" ht="16">
      <c r="A38" s="43" t="s">
        <v>140</v>
      </c>
      <c r="B38" s="44" t="s">
        <v>169</v>
      </c>
      <c r="C38" s="29">
        <v>4.6699999999999998E-2</v>
      </c>
      <c r="D38" s="29">
        <f t="shared" si="0"/>
        <v>0.11349999999999999</v>
      </c>
      <c r="E38" s="30">
        <v>7.1199999999999999E-2</v>
      </c>
      <c r="F38" s="45">
        <v>0.26860000000000001</v>
      </c>
    </row>
    <row r="39" spans="1:6" ht="16">
      <c r="A39" s="43" t="s">
        <v>21</v>
      </c>
      <c r="B39" s="44" t="s">
        <v>220</v>
      </c>
      <c r="C39" s="29">
        <v>5.1000000000000004E-3</v>
      </c>
      <c r="D39" s="29">
        <f t="shared" si="0"/>
        <v>5.0099999999999999E-2</v>
      </c>
      <c r="E39" s="30">
        <v>7.7999999999999996E-3</v>
      </c>
      <c r="F39" s="45">
        <v>0</v>
      </c>
    </row>
    <row r="40" spans="1:6" ht="16">
      <c r="A40" s="43" t="s">
        <v>225</v>
      </c>
      <c r="B40" s="44" t="s">
        <v>220</v>
      </c>
      <c r="C40" s="29">
        <v>6.8042644591899959E-3</v>
      </c>
      <c r="D40" s="29">
        <f t="shared" si="0"/>
        <v>5.2665467678857734E-2</v>
      </c>
      <c r="E40" s="30">
        <v>1.0365467678857737E-2</v>
      </c>
      <c r="F40" s="45">
        <v>0.25557231156583926</v>
      </c>
    </row>
    <row r="41" spans="1:6" ht="16">
      <c r="A41" s="43" t="s">
        <v>22</v>
      </c>
      <c r="B41" s="44" t="s">
        <v>180</v>
      </c>
      <c r="C41" s="29">
        <v>7.1999999999999998E-3</v>
      </c>
      <c r="D41" s="29">
        <f t="shared" si="0"/>
        <v>5.33E-2</v>
      </c>
      <c r="E41" s="30">
        <v>1.0999999999999999E-2</v>
      </c>
      <c r="F41" s="45">
        <v>0.27</v>
      </c>
    </row>
    <row r="42" spans="1:6" ht="16">
      <c r="A42" s="43" t="s">
        <v>23</v>
      </c>
      <c r="B42" s="44" t="s">
        <v>182</v>
      </c>
      <c r="C42" s="29">
        <v>6.0000000000000001E-3</v>
      </c>
      <c r="D42" s="29">
        <f t="shared" si="0"/>
        <v>5.1400000000000001E-2</v>
      </c>
      <c r="E42" s="30">
        <v>9.1000000000000004E-3</v>
      </c>
      <c r="F42" s="45">
        <v>0.25</v>
      </c>
    </row>
    <row r="43" spans="1:6" ht="16">
      <c r="A43" s="43" t="s">
        <v>24</v>
      </c>
      <c r="B43" s="44" t="s">
        <v>174</v>
      </c>
      <c r="C43" s="29">
        <v>1.8700000000000001E-2</v>
      </c>
      <c r="D43" s="29">
        <f t="shared" si="0"/>
        <v>7.0800000000000002E-2</v>
      </c>
      <c r="E43" s="30">
        <v>2.8500000000000001E-2</v>
      </c>
      <c r="F43" s="45">
        <v>0.35</v>
      </c>
    </row>
    <row r="44" spans="1:6" ht="16">
      <c r="A44" s="43" t="s">
        <v>148</v>
      </c>
      <c r="B44" s="44" t="s">
        <v>178</v>
      </c>
      <c r="C44" s="29">
        <v>5.5199999999999999E-2</v>
      </c>
      <c r="D44" s="29">
        <f t="shared" si="0"/>
        <v>0.12639999999999998</v>
      </c>
      <c r="E44" s="30">
        <v>8.4099999999999994E-2</v>
      </c>
      <c r="F44" s="45">
        <v>0.3</v>
      </c>
    </row>
    <row r="45" spans="1:6" ht="16">
      <c r="A45" s="43" t="s">
        <v>149</v>
      </c>
      <c r="B45" s="44" t="s">
        <v>183</v>
      </c>
      <c r="C45" s="29">
        <v>7.6499999999999999E-2</v>
      </c>
      <c r="D45" s="29">
        <f t="shared" si="0"/>
        <v>0.15889999999999999</v>
      </c>
      <c r="E45" s="30">
        <v>0.1166</v>
      </c>
      <c r="F45" s="45">
        <v>0.26860000000000001</v>
      </c>
    </row>
    <row r="46" spans="1:6" ht="16">
      <c r="A46" s="43" t="s">
        <v>141</v>
      </c>
      <c r="B46" s="44" t="s">
        <v>166</v>
      </c>
      <c r="C46" s="29">
        <v>3.8300000000000001E-2</v>
      </c>
      <c r="D46" s="29">
        <f t="shared" si="0"/>
        <v>0.10059999999999999</v>
      </c>
      <c r="E46" s="30">
        <v>5.8299999999999998E-2</v>
      </c>
      <c r="F46" s="45">
        <v>0.2</v>
      </c>
    </row>
    <row r="47" spans="1:6" ht="16">
      <c r="A47" s="43" t="s">
        <v>25</v>
      </c>
      <c r="B47" s="44" t="s">
        <v>173</v>
      </c>
      <c r="C47" s="29">
        <v>2.5600000000000001E-2</v>
      </c>
      <c r="D47" s="29">
        <f t="shared" si="0"/>
        <v>8.1299999999999997E-2</v>
      </c>
      <c r="E47" s="30">
        <v>3.9E-2</v>
      </c>
      <c r="F47" s="45">
        <v>0.3</v>
      </c>
    </row>
    <row r="48" spans="1:6" ht="16">
      <c r="A48" s="43" t="s">
        <v>26</v>
      </c>
      <c r="B48" s="44" t="s">
        <v>184</v>
      </c>
      <c r="C48" s="29">
        <v>1.0200000000000001E-2</v>
      </c>
      <c r="D48" s="29">
        <f t="shared" si="0"/>
        <v>5.7799999999999997E-2</v>
      </c>
      <c r="E48" s="30">
        <v>1.55E-2</v>
      </c>
      <c r="F48" s="45">
        <v>0.18</v>
      </c>
    </row>
    <row r="49" spans="1:6" ht="16">
      <c r="A49" s="43" t="s">
        <v>116</v>
      </c>
      <c r="B49" s="44" t="s">
        <v>213</v>
      </c>
      <c r="C49" s="29">
        <v>0.10199999999999999</v>
      </c>
      <c r="D49" s="29">
        <f t="shared" si="0"/>
        <v>0.19770000000000001</v>
      </c>
      <c r="E49" s="30">
        <v>0.15540000000000001</v>
      </c>
      <c r="F49" s="45">
        <v>0.35</v>
      </c>
    </row>
    <row r="50" spans="1:6" ht="16">
      <c r="A50" s="48" t="s">
        <v>226</v>
      </c>
      <c r="B50" s="44" t="s">
        <v>220</v>
      </c>
      <c r="C50" s="29">
        <v>2.7785941866780777E-2</v>
      </c>
      <c r="D50" s="29">
        <f t="shared" si="0"/>
        <v>8.4628496206189827E-2</v>
      </c>
      <c r="E50" s="30">
        <v>4.2328496206189829E-2</v>
      </c>
      <c r="F50" s="45">
        <v>0.31546691365656965</v>
      </c>
    </row>
    <row r="51" spans="1:6" ht="16">
      <c r="A51" s="43" t="s">
        <v>27</v>
      </c>
      <c r="B51" s="44" t="s">
        <v>184</v>
      </c>
      <c r="C51" s="29">
        <v>1.0200000000000001E-2</v>
      </c>
      <c r="D51" s="29">
        <f t="shared" si="0"/>
        <v>5.7799999999999997E-2</v>
      </c>
      <c r="E51" s="30">
        <v>1.55E-2</v>
      </c>
      <c r="F51" s="45">
        <v>0.125</v>
      </c>
    </row>
    <row r="52" spans="1:6" ht="16">
      <c r="A52" s="43" t="s">
        <v>28</v>
      </c>
      <c r="B52" s="44" t="s">
        <v>177</v>
      </c>
      <c r="C52" s="29">
        <v>5.1000000000000004E-3</v>
      </c>
      <c r="D52" s="29">
        <f t="shared" si="0"/>
        <v>5.0099999999999999E-2</v>
      </c>
      <c r="E52" s="30">
        <v>7.7999999999999996E-3</v>
      </c>
      <c r="F52" s="45">
        <v>0.21</v>
      </c>
    </row>
    <row r="53" spans="1:6" ht="16">
      <c r="A53" s="43" t="s">
        <v>29</v>
      </c>
      <c r="B53" s="44" t="s">
        <v>171</v>
      </c>
      <c r="C53" s="29">
        <v>0</v>
      </c>
      <c r="D53" s="29">
        <f t="shared" si="0"/>
        <v>4.2299999999999997E-2</v>
      </c>
      <c r="E53" s="30">
        <v>0</v>
      </c>
      <c r="F53" s="45">
        <v>0.22</v>
      </c>
    </row>
    <row r="54" spans="1:6" ht="16">
      <c r="A54" s="43" t="s">
        <v>30</v>
      </c>
      <c r="B54" s="44" t="s">
        <v>173</v>
      </c>
      <c r="C54" s="29">
        <v>2.5600000000000001E-2</v>
      </c>
      <c r="D54" s="29">
        <f t="shared" si="0"/>
        <v>8.1299999999999997E-2</v>
      </c>
      <c r="E54" s="30">
        <v>3.9E-2</v>
      </c>
      <c r="F54" s="45">
        <v>0.27</v>
      </c>
    </row>
    <row r="55" spans="1:6" ht="16">
      <c r="A55" s="43" t="s">
        <v>31</v>
      </c>
      <c r="B55" s="44" t="s">
        <v>214</v>
      </c>
      <c r="C55" s="29">
        <v>8.5000000000000006E-2</v>
      </c>
      <c r="D55" s="29">
        <f t="shared" si="0"/>
        <v>0.17180000000000001</v>
      </c>
      <c r="E55" s="30">
        <v>0.1295</v>
      </c>
      <c r="F55" s="45">
        <v>0.25</v>
      </c>
    </row>
    <row r="56" spans="1:6" ht="16">
      <c r="A56" s="43" t="s">
        <v>32</v>
      </c>
      <c r="B56" s="44" t="s">
        <v>176</v>
      </c>
      <c r="C56" s="29">
        <v>6.3700000000000007E-2</v>
      </c>
      <c r="D56" s="29">
        <f t="shared" si="0"/>
        <v>0.1394</v>
      </c>
      <c r="E56" s="30">
        <v>9.7100000000000006E-2</v>
      </c>
      <c r="F56" s="45">
        <v>0.22500000000000001</v>
      </c>
    </row>
    <row r="57" spans="1:6" ht="16">
      <c r="A57" s="43" t="s">
        <v>117</v>
      </c>
      <c r="B57" s="44" t="s">
        <v>178</v>
      </c>
      <c r="C57" s="29">
        <v>5.5199999999999999E-2</v>
      </c>
      <c r="D57" s="29">
        <f t="shared" si="0"/>
        <v>0.12639999999999998</v>
      </c>
      <c r="E57" s="30">
        <v>8.4099999999999994E-2</v>
      </c>
      <c r="F57" s="45">
        <v>0.3</v>
      </c>
    </row>
    <row r="58" spans="1:6" ht="16">
      <c r="A58" s="43" t="s">
        <v>33</v>
      </c>
      <c r="B58" s="44" t="s">
        <v>182</v>
      </c>
      <c r="C58" s="29">
        <v>6.0000000000000001E-3</v>
      </c>
      <c r="D58" s="29">
        <f t="shared" si="0"/>
        <v>5.1400000000000001E-2</v>
      </c>
      <c r="E58" s="30">
        <v>9.1000000000000004E-3</v>
      </c>
      <c r="F58" s="45">
        <v>0.2</v>
      </c>
    </row>
    <row r="59" spans="1:6" ht="16">
      <c r="A59" s="43" t="s">
        <v>150</v>
      </c>
      <c r="B59" s="44" t="s">
        <v>183</v>
      </c>
      <c r="C59" s="29">
        <v>7.6499999999999999E-2</v>
      </c>
      <c r="D59" s="29">
        <f t="shared" si="0"/>
        <v>0.15889999999999999</v>
      </c>
      <c r="E59" s="30">
        <v>0.1166</v>
      </c>
      <c r="F59" s="45">
        <v>0.3</v>
      </c>
    </row>
    <row r="60" spans="1:6" ht="16">
      <c r="A60" s="43" t="s">
        <v>227</v>
      </c>
      <c r="B60" s="44" t="s">
        <v>220</v>
      </c>
      <c r="C60" s="49">
        <v>2.7785941866780777E-2</v>
      </c>
      <c r="D60" s="29">
        <f t="shared" si="0"/>
        <v>8.4628496206189827E-2</v>
      </c>
      <c r="E60" s="30">
        <v>4.2328496206189829E-2</v>
      </c>
      <c r="F60" s="45">
        <v>0.31546691365656965</v>
      </c>
    </row>
    <row r="61" spans="1:6" ht="16">
      <c r="A61" s="43" t="s">
        <v>34</v>
      </c>
      <c r="B61" s="44" t="s">
        <v>166</v>
      </c>
      <c r="C61" s="29">
        <v>3.8300000000000001E-2</v>
      </c>
      <c r="D61" s="29">
        <f t="shared" si="0"/>
        <v>0.10059999999999999</v>
      </c>
      <c r="E61" s="30">
        <v>5.8299999999999998E-2</v>
      </c>
      <c r="F61" s="45">
        <v>0.25</v>
      </c>
    </row>
    <row r="62" spans="1:6" ht="16">
      <c r="A62" s="43" t="s">
        <v>35</v>
      </c>
      <c r="B62" s="44" t="s">
        <v>172</v>
      </c>
      <c r="C62" s="29">
        <v>2.3E-3</v>
      </c>
      <c r="D62" s="29">
        <f t="shared" si="0"/>
        <v>4.5899999999999996E-2</v>
      </c>
      <c r="E62" s="30">
        <v>3.5999999999999999E-3</v>
      </c>
      <c r="F62" s="45">
        <v>0.2</v>
      </c>
    </row>
    <row r="63" spans="1:6" ht="16">
      <c r="A63" s="43" t="s">
        <v>36</v>
      </c>
      <c r="B63" s="44" t="s">
        <v>177</v>
      </c>
      <c r="C63" s="29">
        <v>5.1000000000000004E-3</v>
      </c>
      <c r="D63" s="29">
        <f t="shared" si="0"/>
        <v>5.0099999999999999E-2</v>
      </c>
      <c r="E63" s="30">
        <v>7.7999999999999996E-3</v>
      </c>
      <c r="F63" s="45">
        <v>0.25829999999999997</v>
      </c>
    </row>
    <row r="64" spans="1:6" ht="16">
      <c r="A64" s="43" t="s">
        <v>228</v>
      </c>
      <c r="B64" s="44" t="s">
        <v>220</v>
      </c>
      <c r="C64" s="49">
        <v>2.7785941866780777E-2</v>
      </c>
      <c r="D64" s="29">
        <f t="shared" si="0"/>
        <v>8.4628496206189827E-2</v>
      </c>
      <c r="E64" s="30">
        <v>4.2328496206189829E-2</v>
      </c>
      <c r="F64" s="45">
        <v>0.31546691365656965</v>
      </c>
    </row>
    <row r="65" spans="1:6" ht="16">
      <c r="A65" s="43" t="s">
        <v>142</v>
      </c>
      <c r="B65" s="44" t="s">
        <v>183</v>
      </c>
      <c r="C65" s="29">
        <v>7.6499999999999999E-2</v>
      </c>
      <c r="D65" s="29">
        <f t="shared" si="0"/>
        <v>0.15889999999999999</v>
      </c>
      <c r="E65" s="30">
        <v>0.1166</v>
      </c>
      <c r="F65" s="45">
        <v>0.3</v>
      </c>
    </row>
    <row r="66" spans="1:6" ht="16">
      <c r="A66" s="46" t="s">
        <v>185</v>
      </c>
      <c r="B66" s="44" t="s">
        <v>220</v>
      </c>
      <c r="C66" s="29">
        <v>4.6699999999999998E-2</v>
      </c>
      <c r="D66" s="29">
        <f t="shared" si="0"/>
        <v>0.11349999999999999</v>
      </c>
      <c r="E66" s="30">
        <v>7.1199999999999999E-2</v>
      </c>
      <c r="F66" s="45">
        <v>0.11360000000000001</v>
      </c>
    </row>
    <row r="67" spans="1:6" ht="16">
      <c r="A67" s="43" t="s">
        <v>118</v>
      </c>
      <c r="B67" s="44" t="s">
        <v>173</v>
      </c>
      <c r="C67" s="29">
        <v>2.5600000000000001E-2</v>
      </c>
      <c r="D67" s="29">
        <f t="shared" si="0"/>
        <v>8.1299999999999997E-2</v>
      </c>
      <c r="E67" s="30">
        <v>3.9E-2</v>
      </c>
      <c r="F67" s="45">
        <v>0.15</v>
      </c>
    </row>
    <row r="68" spans="1:6" ht="16">
      <c r="A68" s="43" t="s">
        <v>37</v>
      </c>
      <c r="B68" s="44" t="s">
        <v>171</v>
      </c>
      <c r="C68" s="29">
        <v>0</v>
      </c>
      <c r="D68" s="29">
        <f t="shared" si="0"/>
        <v>4.2299999999999997E-2</v>
      </c>
      <c r="E68" s="30">
        <v>0</v>
      </c>
      <c r="F68" s="45">
        <v>0.29930000000000001</v>
      </c>
    </row>
    <row r="69" spans="1:6" ht="16">
      <c r="A69" s="43" t="s">
        <v>143</v>
      </c>
      <c r="B69" s="44" t="s">
        <v>176</v>
      </c>
      <c r="C69" s="29">
        <v>6.3700000000000007E-2</v>
      </c>
      <c r="D69" s="29">
        <f t="shared" si="0"/>
        <v>0.1394</v>
      </c>
      <c r="E69" s="30">
        <v>9.7100000000000006E-2</v>
      </c>
      <c r="F69" s="45">
        <v>0.25</v>
      </c>
    </row>
    <row r="70" spans="1:6" ht="16">
      <c r="A70" s="43" t="s">
        <v>229</v>
      </c>
      <c r="B70" s="44" t="s">
        <v>220</v>
      </c>
      <c r="C70" s="29">
        <v>6.8042644591899959E-3</v>
      </c>
      <c r="D70" s="29">
        <f t="shared" ref="D70:D133" si="1">$B$1+E70</f>
        <v>5.2665467678857734E-2</v>
      </c>
      <c r="E70" s="30">
        <v>1.0365467678857737E-2</v>
      </c>
      <c r="F70" s="45">
        <v>0.25557231156583926</v>
      </c>
    </row>
    <row r="71" spans="1:6" ht="16">
      <c r="A71" s="43" t="s">
        <v>38</v>
      </c>
      <c r="B71" s="44" t="s">
        <v>174</v>
      </c>
      <c r="C71" s="29">
        <v>1.8700000000000001E-2</v>
      </c>
      <c r="D71" s="29">
        <f t="shared" si="1"/>
        <v>7.0800000000000002E-2</v>
      </c>
      <c r="E71" s="30">
        <v>2.8500000000000001E-2</v>
      </c>
      <c r="F71" s="45">
        <v>0.22</v>
      </c>
    </row>
    <row r="72" spans="1:6" ht="16">
      <c r="A72" s="43" t="s">
        <v>230</v>
      </c>
      <c r="B72" s="44" t="s">
        <v>171</v>
      </c>
      <c r="C72" s="29">
        <v>0</v>
      </c>
      <c r="D72" s="29">
        <f t="shared" si="1"/>
        <v>4.2299999999999997E-2</v>
      </c>
      <c r="E72" s="30">
        <v>0</v>
      </c>
      <c r="F72" s="45">
        <v>0.22</v>
      </c>
    </row>
    <row r="73" spans="1:6" ht="16">
      <c r="A73" s="43" t="s">
        <v>39</v>
      </c>
      <c r="B73" s="44" t="s">
        <v>186</v>
      </c>
      <c r="C73" s="29">
        <v>2.1299999999999999E-2</v>
      </c>
      <c r="D73" s="29">
        <f t="shared" si="1"/>
        <v>7.4699999999999989E-2</v>
      </c>
      <c r="E73" s="30">
        <v>3.2399999999999998E-2</v>
      </c>
      <c r="F73" s="45">
        <v>0.25</v>
      </c>
    </row>
    <row r="74" spans="1:6" ht="16">
      <c r="A74" s="43" t="s">
        <v>216</v>
      </c>
      <c r="B74" s="44" t="s">
        <v>182</v>
      </c>
      <c r="C74" s="29">
        <v>6.0000000000000001E-3</v>
      </c>
      <c r="D74" s="29">
        <f t="shared" si="1"/>
        <v>5.1400000000000001E-2</v>
      </c>
      <c r="E74" s="30">
        <v>9.1000000000000004E-3</v>
      </c>
      <c r="F74" s="45">
        <v>0</v>
      </c>
    </row>
    <row r="75" spans="1:6" ht="16">
      <c r="A75" s="47" t="s">
        <v>187</v>
      </c>
      <c r="B75" s="44" t="s">
        <v>220</v>
      </c>
      <c r="C75" s="29">
        <v>7.6499999999999999E-2</v>
      </c>
      <c r="D75" s="29">
        <f t="shared" si="1"/>
        <v>0.15889999999999999</v>
      </c>
      <c r="E75" s="30">
        <v>0.1166</v>
      </c>
      <c r="F75" s="45">
        <v>0.159</v>
      </c>
    </row>
    <row r="76" spans="1:6" ht="16">
      <c r="A76" s="46" t="s">
        <v>188</v>
      </c>
      <c r="B76" s="44" t="s">
        <v>220</v>
      </c>
      <c r="C76" s="29">
        <v>6.3700000000000007E-2</v>
      </c>
      <c r="D76" s="29">
        <f t="shared" si="1"/>
        <v>0.1394</v>
      </c>
      <c r="E76" s="30">
        <v>9.7100000000000006E-2</v>
      </c>
      <c r="F76" s="45">
        <v>0.13950000000000001</v>
      </c>
    </row>
    <row r="77" spans="1:6" ht="16">
      <c r="A77" s="47" t="s">
        <v>189</v>
      </c>
      <c r="B77" s="44" t="s">
        <v>220</v>
      </c>
      <c r="C77" s="29">
        <v>1.3599999999999999E-2</v>
      </c>
      <c r="D77" s="29">
        <f t="shared" si="1"/>
        <v>6.3E-2</v>
      </c>
      <c r="E77" s="30">
        <v>2.07E-2</v>
      </c>
      <c r="F77" s="45">
        <v>6.3100000000000003E-2</v>
      </c>
    </row>
    <row r="78" spans="1:6" ht="16">
      <c r="A78" s="46" t="s">
        <v>190</v>
      </c>
      <c r="B78" s="44" t="s">
        <v>220</v>
      </c>
      <c r="C78" s="29">
        <v>8.5000000000000006E-2</v>
      </c>
      <c r="D78" s="29">
        <f t="shared" si="1"/>
        <v>0.17180000000000001</v>
      </c>
      <c r="E78" s="30">
        <v>0.1295</v>
      </c>
      <c r="F78" s="45">
        <v>0.1719</v>
      </c>
    </row>
    <row r="79" spans="1:6" ht="16">
      <c r="A79" s="43" t="s">
        <v>40</v>
      </c>
      <c r="B79" s="44" t="s">
        <v>166</v>
      </c>
      <c r="C79" s="29">
        <v>3.8300000000000001E-2</v>
      </c>
      <c r="D79" s="29">
        <f t="shared" si="1"/>
        <v>0.10059999999999999</v>
      </c>
      <c r="E79" s="30">
        <v>5.8299999999999998E-2</v>
      </c>
      <c r="F79" s="45">
        <v>0.3</v>
      </c>
    </row>
    <row r="80" spans="1:6" ht="16">
      <c r="A80" s="43" t="s">
        <v>41</v>
      </c>
      <c r="B80" s="44" t="s">
        <v>177</v>
      </c>
      <c r="C80" s="29">
        <v>5.1000000000000004E-3</v>
      </c>
      <c r="D80" s="29">
        <f t="shared" si="1"/>
        <v>5.0099999999999999E-2</v>
      </c>
      <c r="E80" s="30">
        <v>7.7999999999999996E-3</v>
      </c>
      <c r="F80" s="45">
        <v>0.16500000000000001</v>
      </c>
    </row>
    <row r="81" spans="1:6" ht="16">
      <c r="A81" s="43" t="s">
        <v>42</v>
      </c>
      <c r="B81" s="44" t="s">
        <v>168</v>
      </c>
      <c r="C81" s="29">
        <v>1.6199999999999999E-2</v>
      </c>
      <c r="D81" s="29">
        <f t="shared" si="1"/>
        <v>6.6900000000000001E-2</v>
      </c>
      <c r="E81" s="30">
        <v>2.46E-2</v>
      </c>
      <c r="F81" s="45">
        <v>0.09</v>
      </c>
    </row>
    <row r="82" spans="1:6" ht="16">
      <c r="A82" s="43" t="s">
        <v>43</v>
      </c>
      <c r="B82" s="44" t="s">
        <v>182</v>
      </c>
      <c r="C82" s="29">
        <v>6.0000000000000001E-3</v>
      </c>
      <c r="D82" s="29">
        <f t="shared" si="1"/>
        <v>5.1400000000000001E-2</v>
      </c>
      <c r="E82" s="30">
        <v>9.1000000000000004E-3</v>
      </c>
      <c r="F82" s="45">
        <v>0.21</v>
      </c>
    </row>
    <row r="83" spans="1:6" ht="16">
      <c r="A83" s="43" t="s">
        <v>44</v>
      </c>
      <c r="B83" s="44" t="s">
        <v>174</v>
      </c>
      <c r="C83" s="29">
        <v>1.8700000000000001E-2</v>
      </c>
      <c r="D83" s="29">
        <f t="shared" si="1"/>
        <v>7.0800000000000002E-2</v>
      </c>
      <c r="E83" s="30">
        <v>2.8500000000000001E-2</v>
      </c>
      <c r="F83" s="45">
        <v>0.3</v>
      </c>
    </row>
    <row r="84" spans="1:6" ht="16">
      <c r="A84" s="43" t="s">
        <v>45</v>
      </c>
      <c r="B84" s="44" t="s">
        <v>168</v>
      </c>
      <c r="C84" s="29">
        <v>1.6199999999999999E-2</v>
      </c>
      <c r="D84" s="29">
        <f t="shared" si="1"/>
        <v>6.6900000000000001E-2</v>
      </c>
      <c r="E84" s="30">
        <v>2.46E-2</v>
      </c>
      <c r="F84" s="45">
        <v>0.22</v>
      </c>
    </row>
    <row r="85" spans="1:6" ht="16">
      <c r="A85" s="47" t="s">
        <v>191</v>
      </c>
      <c r="B85" s="44" t="s">
        <v>220</v>
      </c>
      <c r="C85" s="29">
        <v>6.3700000000000007E-2</v>
      </c>
      <c r="D85" s="29">
        <f t="shared" si="1"/>
        <v>0.1394</v>
      </c>
      <c r="E85" s="30">
        <v>9.7100000000000006E-2</v>
      </c>
      <c r="F85" s="45">
        <v>0.13950000000000001</v>
      </c>
    </row>
    <row r="86" spans="1:6" ht="16">
      <c r="A86" s="43" t="s">
        <v>160</v>
      </c>
      <c r="B86" s="44" t="s">
        <v>176</v>
      </c>
      <c r="C86" s="29">
        <v>6.3700000000000007E-2</v>
      </c>
      <c r="D86" s="29">
        <f t="shared" si="1"/>
        <v>0.1394</v>
      </c>
      <c r="E86" s="30">
        <v>9.7100000000000006E-2</v>
      </c>
      <c r="F86" s="45">
        <v>0.15</v>
      </c>
    </row>
    <row r="87" spans="1:6" ht="16">
      <c r="A87" s="43" t="s">
        <v>46</v>
      </c>
      <c r="B87" s="44" t="s">
        <v>177</v>
      </c>
      <c r="C87" s="29">
        <v>5.1000000000000004E-3</v>
      </c>
      <c r="D87" s="29">
        <f t="shared" si="1"/>
        <v>5.0099999999999999E-2</v>
      </c>
      <c r="E87" s="30">
        <v>7.7999999999999996E-3</v>
      </c>
      <c r="F87" s="45">
        <v>0.125</v>
      </c>
    </row>
    <row r="88" spans="1:6" ht="16">
      <c r="A88" s="43" t="s">
        <v>47</v>
      </c>
      <c r="B88" s="44" t="s">
        <v>177</v>
      </c>
      <c r="C88" s="29">
        <v>5.1000000000000004E-3</v>
      </c>
      <c r="D88" s="29">
        <f t="shared" si="1"/>
        <v>5.0099999999999999E-2</v>
      </c>
      <c r="E88" s="30">
        <v>7.7999999999999996E-3</v>
      </c>
      <c r="F88" s="45">
        <v>0</v>
      </c>
    </row>
    <row r="89" spans="1:6" ht="16">
      <c r="A89" s="43" t="s">
        <v>48</v>
      </c>
      <c r="B89" s="44" t="s">
        <v>170</v>
      </c>
      <c r="C89" s="29">
        <v>1.3599999999999999E-2</v>
      </c>
      <c r="D89" s="29">
        <f t="shared" si="1"/>
        <v>6.3E-2</v>
      </c>
      <c r="E89" s="30">
        <v>2.07E-2</v>
      </c>
      <c r="F89" s="45">
        <v>0.23</v>
      </c>
    </row>
    <row r="90" spans="1:6" ht="16">
      <c r="A90" s="43" t="s">
        <v>49</v>
      </c>
      <c r="B90" s="44" t="s">
        <v>168</v>
      </c>
      <c r="C90" s="29">
        <v>1.6199999999999999E-2</v>
      </c>
      <c r="D90" s="29">
        <f t="shared" si="1"/>
        <v>6.6900000000000001E-2</v>
      </c>
      <c r="E90" s="30">
        <v>2.46E-2</v>
      </c>
      <c r="F90" s="45">
        <v>0.27810000000000001</v>
      </c>
    </row>
    <row r="91" spans="1:6" ht="16">
      <c r="A91" s="43" t="s">
        <v>231</v>
      </c>
      <c r="B91" s="44" t="s">
        <v>173</v>
      </c>
      <c r="C91" s="50">
        <v>2.5600000000000001E-2</v>
      </c>
      <c r="D91" s="29">
        <f t="shared" si="1"/>
        <v>8.1299999999999997E-2</v>
      </c>
      <c r="E91" s="30">
        <v>3.9E-2</v>
      </c>
      <c r="F91" s="45">
        <v>0.25</v>
      </c>
    </row>
    <row r="92" spans="1:6" ht="16">
      <c r="A92" s="43" t="s">
        <v>50</v>
      </c>
      <c r="B92" s="44" t="s">
        <v>175</v>
      </c>
      <c r="C92" s="29">
        <v>3.0599999999999999E-2</v>
      </c>
      <c r="D92" s="29">
        <f t="shared" si="1"/>
        <v>8.8900000000000007E-2</v>
      </c>
      <c r="E92" s="30">
        <v>4.6600000000000003E-2</v>
      </c>
      <c r="F92" s="45">
        <v>0.25</v>
      </c>
    </row>
    <row r="93" spans="1:6" ht="16">
      <c r="A93" s="43" t="s">
        <v>51</v>
      </c>
      <c r="B93" s="44" t="s">
        <v>182</v>
      </c>
      <c r="C93" s="29">
        <v>6.0000000000000001E-3</v>
      </c>
      <c r="D93" s="29">
        <f t="shared" si="1"/>
        <v>5.1400000000000001E-2</v>
      </c>
      <c r="E93" s="30">
        <v>9.1000000000000004E-3</v>
      </c>
      <c r="F93" s="45">
        <v>0.2974</v>
      </c>
    </row>
    <row r="94" spans="1:6" ht="16">
      <c r="A94" s="43" t="s">
        <v>217</v>
      </c>
      <c r="B94" s="44" t="s">
        <v>177</v>
      </c>
      <c r="C94" s="29">
        <v>5.1000000000000004E-3</v>
      </c>
      <c r="D94" s="29">
        <f t="shared" si="1"/>
        <v>5.0099999999999999E-2</v>
      </c>
      <c r="E94" s="30">
        <v>7.7999999999999996E-3</v>
      </c>
      <c r="F94" s="45">
        <v>0</v>
      </c>
    </row>
    <row r="95" spans="1:6" ht="16">
      <c r="A95" s="43" t="s">
        <v>52</v>
      </c>
      <c r="B95" s="44" t="s">
        <v>175</v>
      </c>
      <c r="C95" s="29">
        <v>3.0599999999999999E-2</v>
      </c>
      <c r="D95" s="29">
        <f t="shared" si="1"/>
        <v>8.8900000000000007E-2</v>
      </c>
      <c r="E95" s="30">
        <v>4.6600000000000003E-2</v>
      </c>
      <c r="F95" s="45">
        <v>0.2</v>
      </c>
    </row>
    <row r="96" spans="1:6" ht="16">
      <c r="A96" s="43" t="s">
        <v>53</v>
      </c>
      <c r="B96" s="44" t="s">
        <v>170</v>
      </c>
      <c r="C96" s="29">
        <v>1.3599999999999999E-2</v>
      </c>
      <c r="D96" s="29">
        <f t="shared" si="1"/>
        <v>6.3E-2</v>
      </c>
      <c r="E96" s="30">
        <v>2.07E-2</v>
      </c>
      <c r="F96" s="45">
        <v>0.2</v>
      </c>
    </row>
    <row r="97" spans="1:6" ht="16">
      <c r="A97" s="43" t="s">
        <v>134</v>
      </c>
      <c r="B97" s="44" t="s">
        <v>176</v>
      </c>
      <c r="C97" s="29">
        <v>6.3700000000000007E-2</v>
      </c>
      <c r="D97" s="29">
        <f t="shared" si="1"/>
        <v>0.1394</v>
      </c>
      <c r="E97" s="30">
        <v>9.7100000000000006E-2</v>
      </c>
      <c r="F97" s="45">
        <v>0.3</v>
      </c>
    </row>
    <row r="98" spans="1:6" ht="16">
      <c r="A98" s="46" t="s">
        <v>192</v>
      </c>
      <c r="B98" s="44" t="s">
        <v>220</v>
      </c>
      <c r="C98" s="29">
        <v>0.10199999999999999</v>
      </c>
      <c r="D98" s="29">
        <f t="shared" si="1"/>
        <v>0.19770000000000001</v>
      </c>
      <c r="E98" s="30">
        <v>0.15540000000000001</v>
      </c>
      <c r="F98" s="45">
        <v>0.1978</v>
      </c>
    </row>
    <row r="99" spans="1:6" ht="16">
      <c r="A99" s="43" t="s">
        <v>54</v>
      </c>
      <c r="B99" s="44" t="s">
        <v>182</v>
      </c>
      <c r="C99" s="29">
        <v>6.0000000000000001E-3</v>
      </c>
      <c r="D99" s="29">
        <f t="shared" si="1"/>
        <v>5.1400000000000001E-2</v>
      </c>
      <c r="E99" s="30">
        <v>9.1000000000000004E-3</v>
      </c>
      <c r="F99" s="45">
        <v>0.15</v>
      </c>
    </row>
    <row r="100" spans="1:6" ht="16">
      <c r="A100" s="43" t="s">
        <v>161</v>
      </c>
      <c r="B100" s="44" t="s">
        <v>178</v>
      </c>
      <c r="C100" s="29">
        <v>5.5199999999999999E-2</v>
      </c>
      <c r="D100" s="29">
        <f t="shared" si="1"/>
        <v>0.12639999999999998</v>
      </c>
      <c r="E100" s="30">
        <v>8.4099999999999994E-2</v>
      </c>
      <c r="F100" s="45">
        <v>0.1</v>
      </c>
    </row>
    <row r="101" spans="1:6" ht="16">
      <c r="A101" s="43" t="s">
        <v>212</v>
      </c>
      <c r="B101" s="44" t="s">
        <v>183</v>
      </c>
      <c r="C101" s="29">
        <v>7.6499999999999999E-2</v>
      </c>
      <c r="D101" s="29">
        <f t="shared" si="1"/>
        <v>0.15889999999999999</v>
      </c>
      <c r="E101" s="30">
        <v>0.1166</v>
      </c>
      <c r="F101" s="45">
        <v>0.2</v>
      </c>
    </row>
    <row r="102" spans="1:6" ht="16">
      <c r="A102" s="43" t="s">
        <v>55</v>
      </c>
      <c r="B102" s="44" t="s">
        <v>184</v>
      </c>
      <c r="C102" s="29">
        <v>1.0200000000000001E-2</v>
      </c>
      <c r="D102" s="29">
        <f t="shared" si="1"/>
        <v>5.7799999999999997E-2</v>
      </c>
      <c r="E102" s="30">
        <v>1.55E-2</v>
      </c>
      <c r="F102" s="45">
        <v>0.2</v>
      </c>
    </row>
    <row r="103" spans="1:6" ht="16">
      <c r="A103" s="43" t="s">
        <v>119</v>
      </c>
      <c r="B103" s="44" t="s">
        <v>211</v>
      </c>
      <c r="C103" s="29">
        <v>0.17499999999999999</v>
      </c>
      <c r="D103" s="29">
        <f t="shared" si="1"/>
        <v>0.30890000000000001</v>
      </c>
      <c r="E103" s="30">
        <v>0.2666</v>
      </c>
      <c r="F103" s="45">
        <v>0.17</v>
      </c>
    </row>
    <row r="104" spans="1:6" ht="16">
      <c r="A104" s="47" t="s">
        <v>193</v>
      </c>
      <c r="B104" s="44" t="s">
        <v>220</v>
      </c>
      <c r="C104" s="29">
        <v>7.6499999999999999E-2</v>
      </c>
      <c r="D104" s="29">
        <f t="shared" si="1"/>
        <v>0.15889999999999999</v>
      </c>
      <c r="E104" s="30">
        <v>0.1166</v>
      </c>
      <c r="F104" s="45">
        <v>0.159</v>
      </c>
    </row>
    <row r="105" spans="1:6" ht="16">
      <c r="A105" s="46" t="s">
        <v>194</v>
      </c>
      <c r="B105" s="44" t="s">
        <v>220</v>
      </c>
      <c r="C105" s="29">
        <v>2.5600000000000001E-2</v>
      </c>
      <c r="D105" s="29">
        <f t="shared" si="1"/>
        <v>8.1299999999999997E-2</v>
      </c>
      <c r="E105" s="30">
        <v>3.9E-2</v>
      </c>
      <c r="F105" s="45">
        <v>8.14E-2</v>
      </c>
    </row>
    <row r="106" spans="1:6" ht="16">
      <c r="A106" s="43" t="s">
        <v>56</v>
      </c>
      <c r="B106" s="44" t="s">
        <v>171</v>
      </c>
      <c r="C106" s="29">
        <v>0</v>
      </c>
      <c r="D106" s="29">
        <f t="shared" si="1"/>
        <v>4.2299999999999997E-2</v>
      </c>
      <c r="E106" s="30">
        <v>0</v>
      </c>
      <c r="F106" s="45">
        <v>0.125</v>
      </c>
    </row>
    <row r="107" spans="1:6" ht="16">
      <c r="A107" s="43" t="s">
        <v>57</v>
      </c>
      <c r="B107" s="44" t="s">
        <v>180</v>
      </c>
      <c r="C107" s="29">
        <v>7.1999999999999998E-3</v>
      </c>
      <c r="D107" s="29">
        <f t="shared" si="1"/>
        <v>5.33E-2</v>
      </c>
      <c r="E107" s="30">
        <v>1.0999999999999999E-2</v>
      </c>
      <c r="F107" s="45">
        <v>0.15</v>
      </c>
    </row>
    <row r="108" spans="1:6" ht="16">
      <c r="A108" s="43" t="s">
        <v>58</v>
      </c>
      <c r="B108" s="44" t="s">
        <v>171</v>
      </c>
      <c r="C108" s="29">
        <v>0</v>
      </c>
      <c r="D108" s="29">
        <f t="shared" si="1"/>
        <v>4.2299999999999997E-2</v>
      </c>
      <c r="E108" s="30">
        <v>0</v>
      </c>
      <c r="F108" s="45">
        <v>0.24940000000000001</v>
      </c>
    </row>
    <row r="109" spans="1:6" ht="16">
      <c r="A109" s="43" t="s">
        <v>232</v>
      </c>
      <c r="B109" s="44" t="s">
        <v>177</v>
      </c>
      <c r="C109" s="50">
        <v>5.1000000000000004E-3</v>
      </c>
      <c r="D109" s="29">
        <f t="shared" si="1"/>
        <v>5.0099999999999999E-2</v>
      </c>
      <c r="E109" s="30">
        <v>7.7999999999999996E-3</v>
      </c>
      <c r="F109" s="45">
        <v>0.25</v>
      </c>
    </row>
    <row r="110" spans="1:6" ht="16">
      <c r="A110" s="43" t="s">
        <v>59</v>
      </c>
      <c r="B110" s="44" t="s">
        <v>175</v>
      </c>
      <c r="C110" s="29">
        <v>3.0599999999999999E-2</v>
      </c>
      <c r="D110" s="29">
        <f t="shared" si="1"/>
        <v>8.8900000000000007E-2</v>
      </c>
      <c r="E110" s="30">
        <v>4.6600000000000003E-2</v>
      </c>
      <c r="F110" s="45">
        <v>0.1</v>
      </c>
    </row>
    <row r="111" spans="1:6" ht="16">
      <c r="A111" s="47" t="s">
        <v>195</v>
      </c>
      <c r="B111" s="44" t="s">
        <v>220</v>
      </c>
      <c r="C111" s="29">
        <v>5.5199999999999999E-2</v>
      </c>
      <c r="D111" s="29">
        <f t="shared" si="1"/>
        <v>0.12639999999999998</v>
      </c>
      <c r="E111" s="30">
        <v>8.4099999999999994E-2</v>
      </c>
      <c r="F111" s="45">
        <v>0.1265</v>
      </c>
    </row>
    <row r="112" spans="1:6" ht="16">
      <c r="A112" s="46" t="s">
        <v>196</v>
      </c>
      <c r="B112" s="44" t="s">
        <v>220</v>
      </c>
      <c r="C112" s="29">
        <v>8.5000000000000006E-2</v>
      </c>
      <c r="D112" s="29">
        <f t="shared" si="1"/>
        <v>0.17180000000000001</v>
      </c>
      <c r="E112" s="30">
        <v>0.1295</v>
      </c>
      <c r="F112" s="45">
        <v>0.1719</v>
      </c>
    </row>
    <row r="113" spans="1:6" ht="16">
      <c r="A113" s="43" t="s">
        <v>60</v>
      </c>
      <c r="B113" s="44" t="s">
        <v>184</v>
      </c>
      <c r="C113" s="29">
        <v>1.0200000000000001E-2</v>
      </c>
      <c r="D113" s="29">
        <f t="shared" si="1"/>
        <v>5.7799999999999997E-2</v>
      </c>
      <c r="E113" s="30">
        <v>1.55E-2</v>
      </c>
      <c r="F113" s="45">
        <v>0.24</v>
      </c>
    </row>
    <row r="114" spans="1:6" ht="16">
      <c r="A114" s="43" t="s">
        <v>218</v>
      </c>
      <c r="B114" s="44" t="s">
        <v>183</v>
      </c>
      <c r="C114" s="29">
        <v>7.6499999999999999E-2</v>
      </c>
      <c r="D114" s="29">
        <f t="shared" si="1"/>
        <v>0.15889999999999999</v>
      </c>
      <c r="E114" s="30">
        <v>0.1166</v>
      </c>
      <c r="F114" s="45">
        <v>0.15</v>
      </c>
    </row>
    <row r="115" spans="1:6" ht="16">
      <c r="A115" s="43" t="s">
        <v>197</v>
      </c>
      <c r="B115" s="44" t="s">
        <v>183</v>
      </c>
      <c r="C115" s="29">
        <v>7.6499999999999999E-2</v>
      </c>
      <c r="D115" s="29">
        <f t="shared" si="1"/>
        <v>0.15889999999999999</v>
      </c>
      <c r="E115" s="30">
        <v>0.1166</v>
      </c>
      <c r="F115" s="45">
        <v>0.3</v>
      </c>
    </row>
    <row r="116" spans="1:6" ht="16">
      <c r="A116" s="43" t="s">
        <v>61</v>
      </c>
      <c r="B116" s="44" t="s">
        <v>180</v>
      </c>
      <c r="C116" s="29">
        <v>7.1999999999999998E-3</v>
      </c>
      <c r="D116" s="29">
        <f t="shared" si="1"/>
        <v>5.33E-2</v>
      </c>
      <c r="E116" s="30">
        <v>1.0999999999999999E-2</v>
      </c>
      <c r="F116" s="45">
        <v>0.35</v>
      </c>
    </row>
    <row r="117" spans="1:6" ht="16">
      <c r="A117" s="43" t="s">
        <v>233</v>
      </c>
      <c r="B117" s="44" t="s">
        <v>220</v>
      </c>
      <c r="C117" s="29">
        <v>4.9151830261848689E-2</v>
      </c>
      <c r="D117" s="29">
        <f t="shared" si="1"/>
        <v>0.117176823349771</v>
      </c>
      <c r="E117" s="30">
        <v>7.4876823349770999E-2</v>
      </c>
      <c r="F117" s="45">
        <v>0.26526547543374851</v>
      </c>
    </row>
    <row r="118" spans="1:6" ht="16">
      <c r="A118" s="43" t="s">
        <v>62</v>
      </c>
      <c r="B118" s="44" t="s">
        <v>174</v>
      </c>
      <c r="C118" s="29">
        <v>1.8700000000000001E-2</v>
      </c>
      <c r="D118" s="29">
        <f t="shared" si="1"/>
        <v>7.0800000000000002E-2</v>
      </c>
      <c r="E118" s="30">
        <v>2.8500000000000001E-2</v>
      </c>
      <c r="F118" s="45">
        <v>0.15</v>
      </c>
    </row>
    <row r="119" spans="1:6" ht="16">
      <c r="A119" s="43" t="s">
        <v>63</v>
      </c>
      <c r="B119" s="44" t="s">
        <v>168</v>
      </c>
      <c r="C119" s="29">
        <v>1.6199999999999999E-2</v>
      </c>
      <c r="D119" s="29">
        <f t="shared" si="1"/>
        <v>6.6900000000000001E-2</v>
      </c>
      <c r="E119" s="30">
        <v>2.46E-2</v>
      </c>
      <c r="F119" s="45">
        <v>0.3</v>
      </c>
    </row>
    <row r="120" spans="1:6" ht="16">
      <c r="A120" s="43" t="s">
        <v>120</v>
      </c>
      <c r="B120" s="44" t="s">
        <v>178</v>
      </c>
      <c r="C120" s="29">
        <v>5.5199999999999999E-2</v>
      </c>
      <c r="D120" s="29">
        <f t="shared" si="1"/>
        <v>0.12639999999999998</v>
      </c>
      <c r="E120" s="30">
        <v>8.4099999999999994E-2</v>
      </c>
      <c r="F120" s="45">
        <v>0.12</v>
      </c>
    </row>
    <row r="121" spans="1:6" ht="16">
      <c r="A121" s="43" t="s">
        <v>234</v>
      </c>
      <c r="B121" s="44" t="s">
        <v>220</v>
      </c>
      <c r="C121" s="29">
        <v>0</v>
      </c>
      <c r="D121" s="29">
        <f t="shared" si="1"/>
        <v>4.2299999999999997E-2</v>
      </c>
      <c r="E121" s="30">
        <v>0</v>
      </c>
      <c r="F121" s="45">
        <v>0.2</v>
      </c>
    </row>
    <row r="122" spans="1:6" ht="16">
      <c r="A122" s="43" t="s">
        <v>121</v>
      </c>
      <c r="B122" s="44" t="s">
        <v>166</v>
      </c>
      <c r="C122" s="29">
        <v>3.8300000000000001E-2</v>
      </c>
      <c r="D122" s="29">
        <f t="shared" si="1"/>
        <v>0.10059999999999999</v>
      </c>
      <c r="E122" s="30">
        <v>5.8299999999999998E-2</v>
      </c>
      <c r="F122" s="45">
        <v>0.25</v>
      </c>
    </row>
    <row r="123" spans="1:6" ht="16">
      <c r="A123" s="43" t="s">
        <v>64</v>
      </c>
      <c r="B123" s="44" t="s">
        <v>166</v>
      </c>
      <c r="C123" s="29">
        <v>3.8300000000000001E-2</v>
      </c>
      <c r="D123" s="29">
        <f t="shared" si="1"/>
        <v>0.10059999999999999</v>
      </c>
      <c r="E123" s="30">
        <v>5.8299999999999998E-2</v>
      </c>
      <c r="F123" s="45">
        <v>0.15</v>
      </c>
    </row>
    <row r="124" spans="1:6" ht="16">
      <c r="A124" s="43" t="s">
        <v>144</v>
      </c>
      <c r="B124" s="44" t="s">
        <v>174</v>
      </c>
      <c r="C124" s="29">
        <v>1.8700000000000001E-2</v>
      </c>
      <c r="D124" s="29">
        <f t="shared" si="1"/>
        <v>7.0800000000000002E-2</v>
      </c>
      <c r="E124" s="30">
        <v>2.8500000000000001E-2</v>
      </c>
      <c r="F124" s="45">
        <v>0.3</v>
      </c>
    </row>
    <row r="125" spans="1:6" ht="16">
      <c r="A125" s="43" t="s">
        <v>122</v>
      </c>
      <c r="B125" s="44" t="s">
        <v>186</v>
      </c>
      <c r="C125" s="29">
        <v>2.1299999999999999E-2</v>
      </c>
      <c r="D125" s="29">
        <f t="shared" si="1"/>
        <v>7.4699999999999989E-2</v>
      </c>
      <c r="E125" s="30">
        <v>3.2399999999999998E-2</v>
      </c>
      <c r="F125" s="45">
        <v>0.33</v>
      </c>
    </row>
    <row r="126" spans="1:6" ht="16">
      <c r="A126" s="43" t="s">
        <v>65</v>
      </c>
      <c r="B126" s="44" t="s">
        <v>214</v>
      </c>
      <c r="C126" s="29">
        <v>8.5000000000000006E-2</v>
      </c>
      <c r="D126" s="29">
        <f t="shared" si="1"/>
        <v>0.17180000000000001</v>
      </c>
      <c r="E126" s="30">
        <v>0.1295</v>
      </c>
      <c r="F126" s="45">
        <v>0.32</v>
      </c>
    </row>
    <row r="127" spans="1:6" ht="16">
      <c r="A127" s="47" t="s">
        <v>198</v>
      </c>
      <c r="B127" s="44" t="s">
        <v>220</v>
      </c>
      <c r="C127" s="29">
        <v>0.10199999999999999</v>
      </c>
      <c r="D127" s="29">
        <f t="shared" si="1"/>
        <v>0.19770000000000001</v>
      </c>
      <c r="E127" s="30">
        <v>0.15540000000000001</v>
      </c>
      <c r="F127" s="45">
        <v>0.1978</v>
      </c>
    </row>
    <row r="128" spans="1:6" ht="16">
      <c r="A128" s="43" t="s">
        <v>66</v>
      </c>
      <c r="B128" s="44" t="s">
        <v>166</v>
      </c>
      <c r="C128" s="29">
        <v>3.8300000000000001E-2</v>
      </c>
      <c r="D128" s="29">
        <f t="shared" si="1"/>
        <v>0.10059999999999999</v>
      </c>
      <c r="E128" s="30">
        <v>5.8299999999999998E-2</v>
      </c>
      <c r="F128" s="45">
        <v>0.32</v>
      </c>
    </row>
    <row r="129" spans="1:6" ht="16">
      <c r="A129" s="51" t="s">
        <v>245</v>
      </c>
      <c r="B129" s="44" t="s">
        <v>175</v>
      </c>
      <c r="C129" s="29">
        <v>3.0599999999999999E-2</v>
      </c>
      <c r="D129" s="29">
        <f t="shared" si="1"/>
        <v>8.8900000000000007E-2</v>
      </c>
      <c r="E129" s="30">
        <v>4.6600000000000003E-2</v>
      </c>
      <c r="F129" s="45">
        <v>0.25</v>
      </c>
    </row>
    <row r="130" spans="1:6" ht="16">
      <c r="A130" s="43" t="s">
        <v>67</v>
      </c>
      <c r="B130" s="44" t="s">
        <v>171</v>
      </c>
      <c r="C130" s="29">
        <v>0</v>
      </c>
      <c r="D130" s="29">
        <f t="shared" si="1"/>
        <v>4.2299999999999997E-2</v>
      </c>
      <c r="E130" s="30">
        <v>0</v>
      </c>
      <c r="F130" s="45">
        <v>0.25800000000000001</v>
      </c>
    </row>
    <row r="131" spans="1:6" ht="16">
      <c r="A131" s="43" t="s">
        <v>235</v>
      </c>
      <c r="B131" s="44" t="s">
        <v>220</v>
      </c>
      <c r="C131" s="29">
        <v>4.9151830261848689E-2</v>
      </c>
      <c r="D131" s="29">
        <f t="shared" si="1"/>
        <v>0.117176823349771</v>
      </c>
      <c r="E131" s="30">
        <v>7.4876823349770999E-2</v>
      </c>
      <c r="F131" s="45">
        <v>0.26526547543374851</v>
      </c>
    </row>
    <row r="132" spans="1:6" ht="16">
      <c r="A132" s="43" t="s">
        <v>68</v>
      </c>
      <c r="B132" s="44" t="s">
        <v>171</v>
      </c>
      <c r="C132" s="29">
        <v>0</v>
      </c>
      <c r="D132" s="29">
        <f t="shared" si="1"/>
        <v>4.2299999999999997E-2</v>
      </c>
      <c r="E132" s="30">
        <v>0</v>
      </c>
      <c r="F132" s="45">
        <v>0.28000000000000003</v>
      </c>
    </row>
    <row r="133" spans="1:6" ht="16">
      <c r="A133" s="43" t="s">
        <v>123</v>
      </c>
      <c r="B133" s="44" t="s">
        <v>169</v>
      </c>
      <c r="C133" s="29">
        <v>4.6699999999999998E-2</v>
      </c>
      <c r="D133" s="29">
        <f t="shared" si="1"/>
        <v>0.11349999999999999</v>
      </c>
      <c r="E133" s="30">
        <v>7.1199999999999999E-2</v>
      </c>
      <c r="F133" s="45">
        <v>0.3</v>
      </c>
    </row>
    <row r="134" spans="1:6" ht="16">
      <c r="A134" s="43" t="s">
        <v>199</v>
      </c>
      <c r="B134" s="44" t="s">
        <v>214</v>
      </c>
      <c r="C134" s="29">
        <v>8.5000000000000006E-2</v>
      </c>
      <c r="D134" s="29">
        <f t="shared" ref="D134:D196" si="2">$B$1+E134</f>
        <v>0.17180000000000001</v>
      </c>
      <c r="E134" s="30">
        <v>0.1295</v>
      </c>
      <c r="F134" s="45">
        <v>0.3</v>
      </c>
    </row>
    <row r="135" spans="1:6" ht="16">
      <c r="A135" s="43" t="s">
        <v>69</v>
      </c>
      <c r="B135" s="44" t="s">
        <v>178</v>
      </c>
      <c r="C135" s="29">
        <v>5.5199999999999999E-2</v>
      </c>
      <c r="D135" s="29">
        <f t="shared" si="2"/>
        <v>0.12639999999999998</v>
      </c>
      <c r="E135" s="30">
        <v>8.4099999999999994E-2</v>
      </c>
      <c r="F135" s="45">
        <v>0.3</v>
      </c>
    </row>
    <row r="136" spans="1:6" ht="16">
      <c r="A136" s="43" t="s">
        <v>70</v>
      </c>
      <c r="B136" s="44" t="s">
        <v>171</v>
      </c>
      <c r="C136" s="29">
        <v>0</v>
      </c>
      <c r="D136" s="29">
        <f t="shared" si="2"/>
        <v>4.2299999999999997E-2</v>
      </c>
      <c r="E136" s="30">
        <v>0</v>
      </c>
      <c r="F136" s="45">
        <v>0.22</v>
      </c>
    </row>
    <row r="137" spans="1:6" ht="16">
      <c r="A137" s="43" t="s">
        <v>71</v>
      </c>
      <c r="B137" s="44" t="s">
        <v>174</v>
      </c>
      <c r="C137" s="29">
        <v>1.8700000000000001E-2</v>
      </c>
      <c r="D137" s="29">
        <f t="shared" si="2"/>
        <v>7.0800000000000002E-2</v>
      </c>
      <c r="E137" s="30">
        <v>2.8500000000000001E-2</v>
      </c>
      <c r="F137" s="45">
        <v>0.15</v>
      </c>
    </row>
    <row r="138" spans="1:6" ht="16">
      <c r="A138" s="43" t="s">
        <v>72</v>
      </c>
      <c r="B138" s="44" t="s">
        <v>176</v>
      </c>
      <c r="C138" s="29">
        <v>6.3700000000000007E-2</v>
      </c>
      <c r="D138" s="29">
        <f t="shared" si="2"/>
        <v>0.1394</v>
      </c>
      <c r="E138" s="30">
        <v>9.7100000000000006E-2</v>
      </c>
      <c r="F138" s="45">
        <v>0.28999999999999998</v>
      </c>
    </row>
    <row r="139" spans="1:6" ht="16">
      <c r="A139" s="43" t="s">
        <v>236</v>
      </c>
      <c r="B139" s="44" t="s">
        <v>220</v>
      </c>
      <c r="C139" s="29">
        <v>1.3172608945359637E-2</v>
      </c>
      <c r="D139" s="29">
        <f t="shared" si="2"/>
        <v>6.2366864403681901E-2</v>
      </c>
      <c r="E139" s="30">
        <v>2.0066864403681904E-2</v>
      </c>
      <c r="F139" s="45">
        <v>0.16120225505978519</v>
      </c>
    </row>
    <row r="140" spans="1:6" ht="16">
      <c r="A140" s="43" t="s">
        <v>73</v>
      </c>
      <c r="B140" s="44" t="s">
        <v>174</v>
      </c>
      <c r="C140" s="29">
        <v>1.8700000000000001E-2</v>
      </c>
      <c r="D140" s="29">
        <f t="shared" si="2"/>
        <v>7.0800000000000002E-2</v>
      </c>
      <c r="E140" s="30">
        <v>2.8500000000000001E-2</v>
      </c>
      <c r="F140" s="45">
        <v>0.25</v>
      </c>
    </row>
    <row r="141" spans="1:6" ht="16">
      <c r="A141" s="43" t="s">
        <v>74</v>
      </c>
      <c r="B141" s="44" t="s">
        <v>169</v>
      </c>
      <c r="C141" s="29">
        <v>4.6699999999999998E-2</v>
      </c>
      <c r="D141" s="29">
        <f t="shared" si="2"/>
        <v>0.11349999999999999</v>
      </c>
      <c r="E141" s="30">
        <v>7.1199999999999999E-2</v>
      </c>
      <c r="F141" s="45">
        <v>0.3</v>
      </c>
    </row>
    <row r="142" spans="1:6" ht="16">
      <c r="A142" s="43" t="s">
        <v>75</v>
      </c>
      <c r="B142" s="44" t="s">
        <v>174</v>
      </c>
      <c r="C142" s="29">
        <v>1.8700000000000001E-2</v>
      </c>
      <c r="D142" s="29">
        <f t="shared" si="2"/>
        <v>7.0800000000000002E-2</v>
      </c>
      <c r="E142" s="30">
        <v>2.8500000000000001E-2</v>
      </c>
      <c r="F142" s="45">
        <v>0.1</v>
      </c>
    </row>
    <row r="143" spans="1:6" ht="16">
      <c r="A143" s="43" t="s">
        <v>76</v>
      </c>
      <c r="B143" s="44" t="s">
        <v>170</v>
      </c>
      <c r="C143" s="29">
        <v>1.3599999999999999E-2</v>
      </c>
      <c r="D143" s="29">
        <f t="shared" si="2"/>
        <v>6.3E-2</v>
      </c>
      <c r="E143" s="30">
        <v>2.07E-2</v>
      </c>
      <c r="F143" s="45">
        <v>0.29499999999999998</v>
      </c>
    </row>
    <row r="144" spans="1:6" ht="16">
      <c r="A144" s="43" t="s">
        <v>77</v>
      </c>
      <c r="B144" s="44" t="s">
        <v>168</v>
      </c>
      <c r="C144" s="29">
        <v>1.6199999999999999E-2</v>
      </c>
      <c r="D144" s="29">
        <f t="shared" si="2"/>
        <v>6.6900000000000001E-2</v>
      </c>
      <c r="E144" s="30">
        <v>2.46E-2</v>
      </c>
      <c r="F144" s="45">
        <v>0.25</v>
      </c>
    </row>
    <row r="145" spans="1:6" ht="16">
      <c r="A145" s="43" t="s">
        <v>78</v>
      </c>
      <c r="B145" s="44" t="s">
        <v>180</v>
      </c>
      <c r="C145" s="29">
        <v>7.1999999999999998E-3</v>
      </c>
      <c r="D145" s="29">
        <f t="shared" si="2"/>
        <v>5.33E-2</v>
      </c>
      <c r="E145" s="30">
        <v>1.0999999999999999E-2</v>
      </c>
      <c r="F145" s="45">
        <v>0.19</v>
      </c>
    </row>
    <row r="146" spans="1:6" ht="16">
      <c r="A146" s="43" t="s">
        <v>79</v>
      </c>
      <c r="B146" s="44" t="s">
        <v>184</v>
      </c>
      <c r="C146" s="29">
        <v>1.0200000000000001E-2</v>
      </c>
      <c r="D146" s="29">
        <f t="shared" si="2"/>
        <v>5.7799999999999997E-2</v>
      </c>
      <c r="E146" s="30">
        <v>1.55E-2</v>
      </c>
      <c r="F146" s="45">
        <v>0.315</v>
      </c>
    </row>
    <row r="147" spans="1:6" ht="16">
      <c r="A147" s="43" t="s">
        <v>80</v>
      </c>
      <c r="B147" s="44" t="s">
        <v>165</v>
      </c>
      <c r="C147" s="29">
        <v>4.1999999999999997E-3</v>
      </c>
      <c r="D147" s="29">
        <f t="shared" si="2"/>
        <v>4.87E-2</v>
      </c>
      <c r="E147" s="30">
        <v>6.4000000000000003E-3</v>
      </c>
      <c r="F147" s="45">
        <v>0.1</v>
      </c>
    </row>
    <row r="148" spans="1:6" ht="16">
      <c r="A148" s="43" t="s">
        <v>151</v>
      </c>
      <c r="B148" s="44" t="s">
        <v>184</v>
      </c>
      <c r="C148" s="29">
        <v>1.0200000000000001E-2</v>
      </c>
      <c r="D148" s="29">
        <f t="shared" si="2"/>
        <v>5.7799999999999997E-2</v>
      </c>
      <c r="E148" s="30">
        <v>1.55E-2</v>
      </c>
      <c r="F148" s="45">
        <v>0.18940000000000001</v>
      </c>
    </row>
    <row r="149" spans="1:6" ht="16">
      <c r="A149" s="43" t="s">
        <v>237</v>
      </c>
      <c r="B149" s="44" t="s">
        <v>220</v>
      </c>
      <c r="C149" s="29">
        <v>5.0672304468171489E-2</v>
      </c>
      <c r="D149" s="29">
        <f t="shared" si="2"/>
        <v>0.11949308050536839</v>
      </c>
      <c r="E149" s="30">
        <v>7.7193080505368383E-2</v>
      </c>
      <c r="F149" s="45">
        <v>0.27390173905276305</v>
      </c>
    </row>
    <row r="150" spans="1:6" ht="16">
      <c r="A150" s="43" t="s">
        <v>81</v>
      </c>
      <c r="B150" s="44" t="s">
        <v>174</v>
      </c>
      <c r="C150" s="29">
        <v>1.8700000000000001E-2</v>
      </c>
      <c r="D150" s="29">
        <f t="shared" si="2"/>
        <v>7.0800000000000002E-2</v>
      </c>
      <c r="E150" s="30">
        <v>2.8500000000000001E-2</v>
      </c>
      <c r="F150" s="45">
        <v>0.16</v>
      </c>
    </row>
    <row r="151" spans="1:6" ht="16">
      <c r="A151" s="43" t="s">
        <v>82</v>
      </c>
      <c r="B151" s="44" t="s">
        <v>220</v>
      </c>
      <c r="C151" s="29">
        <v>2.5600000000000001E-2</v>
      </c>
      <c r="D151" s="29">
        <f t="shared" si="2"/>
        <v>8.1299999999999997E-2</v>
      </c>
      <c r="E151" s="30">
        <v>3.9E-2</v>
      </c>
      <c r="F151" s="45">
        <v>8.14E-2</v>
      </c>
    </row>
    <row r="152" spans="1:6" ht="16">
      <c r="A152" s="43" t="s">
        <v>145</v>
      </c>
      <c r="B152" s="44" t="s">
        <v>169</v>
      </c>
      <c r="C152" s="29">
        <v>4.6699999999999998E-2</v>
      </c>
      <c r="D152" s="29">
        <f t="shared" si="2"/>
        <v>0.11349999999999999</v>
      </c>
      <c r="E152" s="30">
        <v>7.1199999999999999E-2</v>
      </c>
      <c r="F152" s="45">
        <v>0.28000000000000003</v>
      </c>
    </row>
    <row r="153" spans="1:6" ht="16">
      <c r="A153" s="43" t="s">
        <v>238</v>
      </c>
      <c r="B153" s="44" t="s">
        <v>220</v>
      </c>
      <c r="C153" s="29">
        <v>4.9151830261848689E-2</v>
      </c>
      <c r="D153" s="29">
        <f t="shared" si="2"/>
        <v>0.117176823349771</v>
      </c>
      <c r="E153" s="30">
        <v>7.4876823349770999E-2</v>
      </c>
      <c r="F153" s="45">
        <v>0.26526547543374851</v>
      </c>
    </row>
    <row r="154" spans="1:6" ht="16">
      <c r="A154" s="43" t="s">
        <v>83</v>
      </c>
      <c r="B154" s="44" t="s">
        <v>177</v>
      </c>
      <c r="C154" s="29">
        <v>5.1000000000000004E-3</v>
      </c>
      <c r="D154" s="29">
        <f t="shared" si="2"/>
        <v>5.0099999999999999E-2</v>
      </c>
      <c r="E154" s="30">
        <v>7.7999999999999996E-3</v>
      </c>
      <c r="F154" s="45">
        <v>0.2</v>
      </c>
    </row>
    <row r="155" spans="1:6" ht="16">
      <c r="A155" s="43" t="s">
        <v>124</v>
      </c>
      <c r="B155" s="44" t="s">
        <v>176</v>
      </c>
      <c r="C155" s="29">
        <v>6.3700000000000007E-2</v>
      </c>
      <c r="D155" s="29">
        <f t="shared" si="2"/>
        <v>0.1394</v>
      </c>
      <c r="E155" s="30">
        <v>9.7100000000000006E-2</v>
      </c>
      <c r="F155" s="45">
        <v>0.3</v>
      </c>
    </row>
    <row r="156" spans="1:6" ht="16">
      <c r="A156" s="43" t="s">
        <v>84</v>
      </c>
      <c r="B156" s="44" t="s">
        <v>173</v>
      </c>
      <c r="C156" s="29">
        <v>2.5600000000000001E-2</v>
      </c>
      <c r="D156" s="29">
        <f t="shared" si="2"/>
        <v>8.1299999999999997E-2</v>
      </c>
      <c r="E156" s="30">
        <v>3.9E-2</v>
      </c>
      <c r="F156" s="45">
        <v>0.15</v>
      </c>
    </row>
    <row r="157" spans="1:6" ht="16">
      <c r="A157" s="43" t="s">
        <v>152</v>
      </c>
      <c r="B157" s="44" t="s">
        <v>186</v>
      </c>
      <c r="C157" s="29">
        <v>2.1299999999999999E-2</v>
      </c>
      <c r="D157" s="29">
        <f t="shared" si="2"/>
        <v>7.4699999999999989E-2</v>
      </c>
      <c r="E157" s="30">
        <v>3.2399999999999998E-2</v>
      </c>
      <c r="F157" s="45">
        <v>0.18940000000000001</v>
      </c>
    </row>
    <row r="158" spans="1:6" ht="16">
      <c r="A158" s="46" t="s">
        <v>200</v>
      </c>
      <c r="B158" s="44" t="s">
        <v>220</v>
      </c>
      <c r="C158" s="29">
        <v>5.5199999999999999E-2</v>
      </c>
      <c r="D158" s="29">
        <f t="shared" si="2"/>
        <v>0.12639999999999998</v>
      </c>
      <c r="E158" s="30">
        <v>8.4099999999999994E-2</v>
      </c>
      <c r="F158" s="45">
        <v>0.1265</v>
      </c>
    </row>
    <row r="159" spans="1:6" ht="16">
      <c r="A159" s="43" t="s">
        <v>85</v>
      </c>
      <c r="B159" s="44" t="s">
        <v>171</v>
      </c>
      <c r="C159" s="29">
        <v>0</v>
      </c>
      <c r="D159" s="29">
        <f t="shared" si="2"/>
        <v>4.2299999999999997E-2</v>
      </c>
      <c r="E159" s="30">
        <v>0</v>
      </c>
      <c r="F159" s="45">
        <v>0.17</v>
      </c>
    </row>
    <row r="160" spans="1:6" ht="16">
      <c r="A160" s="43" t="s">
        <v>125</v>
      </c>
      <c r="B160" s="44" t="s">
        <v>184</v>
      </c>
      <c r="C160" s="29">
        <v>1.0200000000000001E-2</v>
      </c>
      <c r="D160" s="29">
        <f t="shared" si="2"/>
        <v>5.7799999999999997E-2</v>
      </c>
      <c r="E160" s="30">
        <v>1.55E-2</v>
      </c>
      <c r="F160" s="45">
        <v>0.21</v>
      </c>
    </row>
    <row r="161" spans="1:6" ht="16">
      <c r="A161" s="43" t="s">
        <v>86</v>
      </c>
      <c r="B161" s="44" t="s">
        <v>184</v>
      </c>
      <c r="C161" s="29">
        <v>1.0200000000000001E-2</v>
      </c>
      <c r="D161" s="29">
        <f t="shared" si="2"/>
        <v>5.7799999999999997E-2</v>
      </c>
      <c r="E161" s="30">
        <v>1.55E-2</v>
      </c>
      <c r="F161" s="45">
        <v>0.22</v>
      </c>
    </row>
    <row r="162" spans="1:6" ht="16">
      <c r="A162" s="43" t="s">
        <v>201</v>
      </c>
      <c r="B162" s="44" t="s">
        <v>176</v>
      </c>
      <c r="C162" s="29">
        <v>6.3700000000000007E-2</v>
      </c>
      <c r="D162" s="29">
        <f t="shared" si="2"/>
        <v>0.1394</v>
      </c>
      <c r="E162" s="30">
        <v>9.7100000000000006E-2</v>
      </c>
      <c r="F162" s="45">
        <v>0.3</v>
      </c>
    </row>
    <row r="163" spans="1:6" ht="16">
      <c r="A163" s="47" t="s">
        <v>202</v>
      </c>
      <c r="B163" s="44" t="s">
        <v>220</v>
      </c>
      <c r="C163" s="29">
        <v>8.5000000000000006E-2</v>
      </c>
      <c r="D163" s="29">
        <f t="shared" si="2"/>
        <v>0.17180000000000001</v>
      </c>
      <c r="E163" s="30">
        <v>0.1295</v>
      </c>
      <c r="F163" s="45">
        <v>0.1719</v>
      </c>
    </row>
    <row r="164" spans="1:6" ht="16">
      <c r="A164" s="43" t="s">
        <v>87</v>
      </c>
      <c r="B164" s="44" t="s">
        <v>173</v>
      </c>
      <c r="C164" s="50">
        <v>2.5600000000000001E-2</v>
      </c>
      <c r="D164" s="29">
        <f t="shared" si="2"/>
        <v>8.1299999999999997E-2</v>
      </c>
      <c r="E164" s="30">
        <v>3.9E-2</v>
      </c>
      <c r="F164" s="45">
        <v>0.27</v>
      </c>
    </row>
    <row r="165" spans="1:6" ht="16">
      <c r="A165" s="43" t="s">
        <v>239</v>
      </c>
      <c r="B165" s="44" t="s">
        <v>165</v>
      </c>
      <c r="C165" s="29">
        <v>4.1999999999999997E-3</v>
      </c>
      <c r="D165" s="29">
        <f t="shared" si="2"/>
        <v>4.87E-2</v>
      </c>
      <c r="E165" s="30">
        <v>6.4000000000000003E-3</v>
      </c>
      <c r="F165" s="45">
        <v>0.26400000000000001</v>
      </c>
    </row>
    <row r="166" spans="1:6" ht="16">
      <c r="A166" s="43" t="s">
        <v>88</v>
      </c>
      <c r="B166" s="44" t="s">
        <v>184</v>
      </c>
      <c r="C166" s="29">
        <v>1.0200000000000001E-2</v>
      </c>
      <c r="D166" s="29">
        <f t="shared" si="2"/>
        <v>5.7799999999999997E-2</v>
      </c>
      <c r="E166" s="30">
        <v>1.55E-2</v>
      </c>
      <c r="F166" s="45">
        <v>0.25</v>
      </c>
    </row>
    <row r="167" spans="1:6" ht="16">
      <c r="A167" s="43" t="s">
        <v>89</v>
      </c>
      <c r="B167" s="44" t="s">
        <v>213</v>
      </c>
      <c r="C167" s="29">
        <v>0.10199999999999999</v>
      </c>
      <c r="D167" s="29">
        <f t="shared" si="2"/>
        <v>0.19770000000000001</v>
      </c>
      <c r="E167" s="30">
        <v>0.15540000000000001</v>
      </c>
      <c r="F167" s="45">
        <v>0.3</v>
      </c>
    </row>
    <row r="168" spans="1:6" ht="16">
      <c r="A168" s="43" t="s">
        <v>135</v>
      </c>
      <c r="B168" s="44" t="s">
        <v>173</v>
      </c>
      <c r="C168" s="29">
        <v>2.5600000000000001E-2</v>
      </c>
      <c r="D168" s="29">
        <f t="shared" si="2"/>
        <v>8.1299999999999997E-2</v>
      </c>
      <c r="E168" s="30">
        <v>3.9E-2</v>
      </c>
      <c r="F168" s="45">
        <v>0.2</v>
      </c>
    </row>
    <row r="169" spans="1:6" ht="16">
      <c r="A169" s="43" t="s">
        <v>126</v>
      </c>
      <c r="B169" s="44" t="s">
        <v>178</v>
      </c>
      <c r="C169" s="29">
        <v>5.5199999999999999E-2</v>
      </c>
      <c r="D169" s="29">
        <f t="shared" si="2"/>
        <v>0.12639999999999998</v>
      </c>
      <c r="E169" s="30">
        <v>8.4099999999999994E-2</v>
      </c>
      <c r="F169" s="45">
        <v>0.28000000000000003</v>
      </c>
    </row>
    <row r="170" spans="1:6" ht="16">
      <c r="A170" s="46" t="s">
        <v>203</v>
      </c>
      <c r="B170" s="44" t="s">
        <v>220</v>
      </c>
      <c r="C170" s="29">
        <v>0.17499999999999999</v>
      </c>
      <c r="D170" s="29">
        <f t="shared" si="2"/>
        <v>0.30890000000000001</v>
      </c>
      <c r="E170" s="30">
        <v>0.2666</v>
      </c>
      <c r="F170" s="45">
        <v>0.309</v>
      </c>
    </row>
    <row r="171" spans="1:6" ht="16">
      <c r="A171" s="43" t="s">
        <v>127</v>
      </c>
      <c r="B171" s="44" t="s">
        <v>176</v>
      </c>
      <c r="C171" s="29">
        <v>6.3700000000000007E-2</v>
      </c>
      <c r="D171" s="29">
        <f t="shared" si="2"/>
        <v>0.1394</v>
      </c>
      <c r="E171" s="30">
        <v>9.7100000000000006E-2</v>
      </c>
      <c r="F171" s="45">
        <v>0.36</v>
      </c>
    </row>
    <row r="172" spans="1:6" ht="16">
      <c r="A172" s="43" t="s">
        <v>204</v>
      </c>
      <c r="B172" s="44" t="s">
        <v>169</v>
      </c>
      <c r="C172" s="29">
        <v>4.6699999999999998E-2</v>
      </c>
      <c r="D172" s="29">
        <f t="shared" si="2"/>
        <v>0.11349999999999999</v>
      </c>
      <c r="E172" s="30">
        <v>7.1199999999999999E-2</v>
      </c>
      <c r="F172" s="45">
        <v>0.25</v>
      </c>
    </row>
    <row r="173" spans="1:6" ht="16">
      <c r="A173" s="43" t="s">
        <v>90</v>
      </c>
      <c r="B173" s="44" t="s">
        <v>171</v>
      </c>
      <c r="C173" s="29">
        <v>0</v>
      </c>
      <c r="D173" s="29">
        <f t="shared" si="2"/>
        <v>4.2299999999999997E-2</v>
      </c>
      <c r="E173" s="30">
        <v>0</v>
      </c>
      <c r="F173" s="45">
        <v>0.20599999999999999</v>
      </c>
    </row>
    <row r="174" spans="1:6" ht="16">
      <c r="A174" s="43" t="s">
        <v>91</v>
      </c>
      <c r="B174" s="44" t="s">
        <v>171</v>
      </c>
      <c r="C174" s="29">
        <v>0</v>
      </c>
      <c r="D174" s="29">
        <f t="shared" si="2"/>
        <v>4.2299999999999997E-2</v>
      </c>
      <c r="E174" s="30">
        <v>0</v>
      </c>
      <c r="F174" s="45">
        <v>0.1961</v>
      </c>
    </row>
    <row r="175" spans="1:6" ht="16">
      <c r="A175" s="47" t="s">
        <v>205</v>
      </c>
      <c r="B175" s="44" t="s">
        <v>220</v>
      </c>
      <c r="C175" s="29">
        <v>0.10199999999999999</v>
      </c>
      <c r="D175" s="29">
        <f t="shared" si="2"/>
        <v>0.19770000000000001</v>
      </c>
      <c r="E175" s="30">
        <v>0.15540000000000001</v>
      </c>
      <c r="F175" s="45">
        <v>0.1978</v>
      </c>
    </row>
    <row r="176" spans="1:6" ht="16">
      <c r="A176" s="43" t="s">
        <v>92</v>
      </c>
      <c r="B176" s="44" t="s">
        <v>177</v>
      </c>
      <c r="C176" s="29">
        <v>5.1000000000000004E-3</v>
      </c>
      <c r="D176" s="29">
        <f t="shared" si="2"/>
        <v>5.0099999999999999E-2</v>
      </c>
      <c r="E176" s="30">
        <v>7.7999999999999996E-3</v>
      </c>
      <c r="F176" s="45">
        <v>0.2</v>
      </c>
    </row>
    <row r="177" spans="1:6" ht="16">
      <c r="A177" s="43" t="s">
        <v>206</v>
      </c>
      <c r="B177" s="44" t="s">
        <v>178</v>
      </c>
      <c r="C177" s="29">
        <v>5.5199999999999999E-2</v>
      </c>
      <c r="D177" s="29">
        <f t="shared" si="2"/>
        <v>0.12639999999999998</v>
      </c>
      <c r="E177" s="30">
        <v>8.4099999999999994E-2</v>
      </c>
      <c r="F177" s="45">
        <v>0.18</v>
      </c>
    </row>
    <row r="178" spans="1:6" ht="16">
      <c r="A178" s="43" t="s">
        <v>207</v>
      </c>
      <c r="B178" s="44" t="s">
        <v>166</v>
      </c>
      <c r="C178" s="29">
        <v>3.8300000000000001E-2</v>
      </c>
      <c r="D178" s="29">
        <f t="shared" si="2"/>
        <v>0.10059999999999999</v>
      </c>
      <c r="E178" s="30">
        <v>5.8299999999999998E-2</v>
      </c>
      <c r="F178" s="45">
        <v>0.3</v>
      </c>
    </row>
    <row r="179" spans="1:6" ht="16">
      <c r="A179" s="43" t="s">
        <v>93</v>
      </c>
      <c r="B179" s="44" t="s">
        <v>170</v>
      </c>
      <c r="C179" s="29">
        <v>1.3599999999999999E-2</v>
      </c>
      <c r="D179" s="29">
        <f t="shared" si="2"/>
        <v>6.3E-2</v>
      </c>
      <c r="E179" s="30">
        <v>2.07E-2</v>
      </c>
      <c r="F179" s="45">
        <v>0.2</v>
      </c>
    </row>
    <row r="180" spans="1:6" ht="16">
      <c r="A180" s="43" t="s">
        <v>208</v>
      </c>
      <c r="B180" s="44" t="s">
        <v>178</v>
      </c>
      <c r="C180" s="29">
        <v>5.5199999999999999E-2</v>
      </c>
      <c r="D180" s="29">
        <f t="shared" si="2"/>
        <v>0.12639999999999998</v>
      </c>
      <c r="E180" s="30">
        <v>8.4099999999999994E-2</v>
      </c>
      <c r="F180" s="45">
        <v>0.27</v>
      </c>
    </row>
    <row r="181" spans="1:6" ht="16">
      <c r="A181" s="43" t="s">
        <v>240</v>
      </c>
      <c r="B181" s="44" t="s">
        <v>173</v>
      </c>
      <c r="C181" s="29">
        <v>2.5600000000000001E-2</v>
      </c>
      <c r="D181" s="29">
        <f t="shared" si="2"/>
        <v>8.1299999999999997E-2</v>
      </c>
      <c r="E181" s="30">
        <v>3.9E-2</v>
      </c>
      <c r="F181" s="45">
        <v>0.3</v>
      </c>
    </row>
    <row r="182" spans="1:6" ht="16">
      <c r="A182" s="43" t="s">
        <v>94</v>
      </c>
      <c r="B182" s="44" t="s">
        <v>176</v>
      </c>
      <c r="C182" s="29">
        <v>6.3700000000000007E-2</v>
      </c>
      <c r="D182" s="29">
        <f t="shared" si="2"/>
        <v>0.1394</v>
      </c>
      <c r="E182" s="30">
        <v>9.7100000000000006E-2</v>
      </c>
      <c r="F182" s="45">
        <v>0.15</v>
      </c>
    </row>
    <row r="183" spans="1:6" ht="16">
      <c r="A183" s="43" t="s">
        <v>95</v>
      </c>
      <c r="B183" s="44" t="s">
        <v>166</v>
      </c>
      <c r="C183" s="29">
        <v>3.8300000000000001E-2</v>
      </c>
      <c r="D183" s="29">
        <f t="shared" si="2"/>
        <v>0.10059999999999999</v>
      </c>
      <c r="E183" s="30">
        <v>5.8299999999999998E-2</v>
      </c>
      <c r="F183" s="45">
        <v>0.25</v>
      </c>
    </row>
    <row r="184" spans="1:6" ht="16">
      <c r="A184" s="48" t="s">
        <v>241</v>
      </c>
      <c r="B184" s="44" t="s">
        <v>220</v>
      </c>
      <c r="C184" s="29">
        <v>4.9151830261848689E-2</v>
      </c>
      <c r="D184" s="29">
        <f t="shared" si="2"/>
        <v>0.117176823349771</v>
      </c>
      <c r="E184" s="30">
        <v>7.4876823349770999E-2</v>
      </c>
      <c r="F184" s="45">
        <v>0.26526547543374851</v>
      </c>
    </row>
    <row r="185" spans="1:6" ht="16">
      <c r="A185" s="43" t="s">
        <v>136</v>
      </c>
      <c r="B185" s="44" t="s">
        <v>178</v>
      </c>
      <c r="C185" s="29">
        <v>5.5199999999999999E-2</v>
      </c>
      <c r="D185" s="29">
        <f t="shared" si="2"/>
        <v>0.12639999999999998</v>
      </c>
      <c r="E185" s="30">
        <v>8.4099999999999994E-2</v>
      </c>
      <c r="F185" s="45">
        <v>0.3</v>
      </c>
    </row>
    <row r="186" spans="1:6" ht="16">
      <c r="A186" s="43" t="s">
        <v>96</v>
      </c>
      <c r="B186" s="44" t="s">
        <v>213</v>
      </c>
      <c r="C186" s="29">
        <v>0.10199999999999999</v>
      </c>
      <c r="D186" s="29">
        <f t="shared" si="2"/>
        <v>0.19770000000000001</v>
      </c>
      <c r="E186" s="30">
        <v>0.15540000000000001</v>
      </c>
      <c r="F186" s="45">
        <v>0.18</v>
      </c>
    </row>
    <row r="187" spans="1:6" ht="16">
      <c r="A187" s="43" t="s">
        <v>97</v>
      </c>
      <c r="B187" s="44" t="s">
        <v>165</v>
      </c>
      <c r="C187" s="29">
        <v>4.1999999999999997E-3</v>
      </c>
      <c r="D187" s="29">
        <f t="shared" si="2"/>
        <v>4.87E-2</v>
      </c>
      <c r="E187" s="30">
        <v>6.4000000000000003E-3</v>
      </c>
      <c r="F187" s="45">
        <v>0.09</v>
      </c>
    </row>
    <row r="188" spans="1:6" ht="16">
      <c r="A188" s="43" t="s">
        <v>98</v>
      </c>
      <c r="B188" s="44" t="s">
        <v>177</v>
      </c>
      <c r="C188" s="29">
        <v>5.1000000000000004E-3</v>
      </c>
      <c r="D188" s="29">
        <f t="shared" si="2"/>
        <v>5.0099999999999999E-2</v>
      </c>
      <c r="E188" s="30">
        <v>7.7999999999999996E-3</v>
      </c>
      <c r="F188" s="45">
        <v>0.25</v>
      </c>
    </row>
    <row r="189" spans="1:6" ht="16">
      <c r="A189" s="43" t="s">
        <v>162</v>
      </c>
      <c r="B189" s="44" t="s">
        <v>172</v>
      </c>
      <c r="C189" s="29">
        <v>2.3E-3</v>
      </c>
      <c r="D189" s="29">
        <f t="shared" si="2"/>
        <v>4.4600000000000001E-2</v>
      </c>
      <c r="E189" s="30">
        <v>2.3E-3</v>
      </c>
      <c r="F189" s="45">
        <v>0.25</v>
      </c>
    </row>
    <row r="190" spans="1:6" ht="16">
      <c r="A190" s="43" t="s">
        <v>99</v>
      </c>
      <c r="B190" s="44" t="s">
        <v>170</v>
      </c>
      <c r="C190" s="29">
        <v>1.3599999999999999E-2</v>
      </c>
      <c r="D190" s="29">
        <f t="shared" si="2"/>
        <v>6.3E-2</v>
      </c>
      <c r="E190" s="30">
        <v>2.07E-2</v>
      </c>
      <c r="F190" s="45">
        <v>0.25</v>
      </c>
    </row>
    <row r="191" spans="1:6" ht="16">
      <c r="A191" s="43" t="s">
        <v>219</v>
      </c>
      <c r="B191" s="44" t="s">
        <v>175</v>
      </c>
      <c r="C191" s="29">
        <v>3.0599999999999999E-2</v>
      </c>
      <c r="D191" s="29">
        <f t="shared" si="2"/>
        <v>8.8900000000000007E-2</v>
      </c>
      <c r="E191" s="30">
        <v>4.6600000000000003E-2</v>
      </c>
      <c r="F191" s="45">
        <v>0.15</v>
      </c>
    </row>
    <row r="192" spans="1:6" ht="16">
      <c r="A192" s="43" t="s">
        <v>100</v>
      </c>
      <c r="B192" s="44" t="s">
        <v>211</v>
      </c>
      <c r="C192" s="29">
        <v>0.17499999999999999</v>
      </c>
      <c r="D192" s="29">
        <f t="shared" si="2"/>
        <v>0.30890000000000001</v>
      </c>
      <c r="E192" s="30">
        <v>0.2666</v>
      </c>
      <c r="F192" s="45">
        <v>0.34</v>
      </c>
    </row>
    <row r="193" spans="1:6" ht="16">
      <c r="A193" s="43" t="s">
        <v>101</v>
      </c>
      <c r="B193" s="44" t="s">
        <v>173</v>
      </c>
      <c r="C193" s="29">
        <v>2.5600000000000001E-2</v>
      </c>
      <c r="D193" s="29">
        <f t="shared" si="2"/>
        <v>8.1299999999999997E-2</v>
      </c>
      <c r="E193" s="30">
        <v>3.9E-2</v>
      </c>
      <c r="F193" s="45">
        <v>0.2</v>
      </c>
    </row>
    <row r="194" spans="1:6" ht="16">
      <c r="A194" s="46" t="s">
        <v>242</v>
      </c>
      <c r="B194" s="44" t="s">
        <v>220</v>
      </c>
      <c r="C194" s="29">
        <v>0.10199999999999999</v>
      </c>
      <c r="D194" s="29">
        <f t="shared" si="2"/>
        <v>0.19770000000000001</v>
      </c>
      <c r="E194" s="30">
        <v>0.15540000000000001</v>
      </c>
      <c r="F194" s="45">
        <v>0.1978</v>
      </c>
    </row>
    <row r="195" spans="1:6" ht="16">
      <c r="A195" s="43" t="s">
        <v>102</v>
      </c>
      <c r="B195" s="44" t="s">
        <v>183</v>
      </c>
      <c r="C195" s="52">
        <v>7.6499999999999999E-2</v>
      </c>
      <c r="D195" s="29">
        <f t="shared" si="2"/>
        <v>0.15889999999999999</v>
      </c>
      <c r="E195" s="30">
        <v>0.1166</v>
      </c>
      <c r="F195" s="45">
        <v>0.3</v>
      </c>
    </row>
    <row r="196" spans="1:6" ht="16">
      <c r="A196" s="47" t="s">
        <v>209</v>
      </c>
      <c r="B196" s="44" t="s">
        <v>220</v>
      </c>
      <c r="C196" s="53">
        <v>7.6499999999999999E-2</v>
      </c>
      <c r="D196" s="29">
        <f t="shared" si="2"/>
        <v>0.15889999999999999</v>
      </c>
      <c r="E196" s="30">
        <v>0.1166</v>
      </c>
      <c r="F196" s="45">
        <v>0.159</v>
      </c>
    </row>
    <row r="200" spans="1:6">
      <c r="A200" s="31" t="s">
        <v>106</v>
      </c>
      <c r="B200" s="54" t="s">
        <v>129</v>
      </c>
      <c r="C200" s="54" t="s">
        <v>248</v>
      </c>
      <c r="D200" s="54" t="s">
        <v>221</v>
      </c>
      <c r="E200" s="54" t="s">
        <v>249</v>
      </c>
      <c r="F200" s="55" t="s">
        <v>250</v>
      </c>
    </row>
    <row r="201" spans="1:6">
      <c r="A201" s="32" t="s">
        <v>108</v>
      </c>
      <c r="B201" s="53">
        <f>$B$1+E201</f>
        <v>0.11949308050536839</v>
      </c>
      <c r="C201" s="53">
        <v>5.0672304468171489E-2</v>
      </c>
      <c r="D201" s="53">
        <v>0.27390173905276305</v>
      </c>
      <c r="E201" s="53">
        <v>7.7193080505368383E-2</v>
      </c>
      <c r="F201" s="56">
        <v>2340875.22920722</v>
      </c>
    </row>
    <row r="202" spans="1:6">
      <c r="A202" s="32" t="s">
        <v>133</v>
      </c>
      <c r="B202" s="53">
        <f t="shared" ref="B202:B210" si="3">$B$1+E202</f>
        <v>5.7223235648452254E-2</v>
      </c>
      <c r="C202" s="53">
        <v>9.7961466944702924E-3</v>
      </c>
      <c r="D202" s="53">
        <v>0.25654534735852497</v>
      </c>
      <c r="E202" s="53">
        <v>1.4923235648452259E-2</v>
      </c>
      <c r="F202" s="56">
        <v>34731689.374811396</v>
      </c>
    </row>
    <row r="203" spans="1:6">
      <c r="A203" s="32" t="s">
        <v>110</v>
      </c>
      <c r="B203" s="53">
        <f t="shared" si="3"/>
        <v>4.2340821732004208E-2</v>
      </c>
      <c r="C203" s="53">
        <v>2.6796847845597547E-5</v>
      </c>
      <c r="D203" s="53">
        <v>0.29735221227379716</v>
      </c>
      <c r="E203" s="53">
        <v>4.0821732004207806E-5</v>
      </c>
      <c r="F203" s="56">
        <v>2018608.836750448</v>
      </c>
    </row>
    <row r="204" spans="1:6">
      <c r="A204" s="32" t="s">
        <v>112</v>
      </c>
      <c r="B204" s="53">
        <f t="shared" si="3"/>
        <v>0.117176823349771</v>
      </c>
      <c r="C204" s="53">
        <v>4.9151830261848689E-2</v>
      </c>
      <c r="D204" s="53">
        <v>0.26526547543374851</v>
      </c>
      <c r="E204" s="53">
        <v>7.4876823349770999E-2</v>
      </c>
      <c r="F204" s="56">
        <v>347814.13246985013</v>
      </c>
    </row>
    <row r="205" spans="1:6">
      <c r="A205" s="32" t="s">
        <v>109</v>
      </c>
      <c r="B205" s="53">
        <f t="shared" si="3"/>
        <v>8.4628496206189827E-2</v>
      </c>
      <c r="C205" s="53">
        <v>2.7785941866780777E-2</v>
      </c>
      <c r="D205" s="53">
        <v>0.31546691365656965</v>
      </c>
      <c r="E205" s="53">
        <v>4.2328496206189829E-2</v>
      </c>
      <c r="F205" s="56">
        <v>6538486.8558456972</v>
      </c>
    </row>
    <row r="206" spans="1:6">
      <c r="A206" s="32" t="s">
        <v>246</v>
      </c>
      <c r="B206" s="53">
        <f t="shared" si="3"/>
        <v>7.5777091018450746E-2</v>
      </c>
      <c r="C206" s="53">
        <v>2.1975562287317348E-2</v>
      </c>
      <c r="D206" s="53">
        <v>0.17637480027426933</v>
      </c>
      <c r="E206" s="53">
        <v>3.3477091018450748E-2</v>
      </c>
      <c r="F206" s="56">
        <v>3491477.1931399349</v>
      </c>
    </row>
    <row r="207" spans="1:6">
      <c r="A207" s="32" t="s">
        <v>113</v>
      </c>
      <c r="B207" s="53">
        <f t="shared" si="3"/>
        <v>6.2366864403681901E-2</v>
      </c>
      <c r="C207" s="53">
        <v>1.3172608945359637E-2</v>
      </c>
      <c r="D207" s="53">
        <v>0.16120225505978519</v>
      </c>
      <c r="E207" s="53">
        <v>2.0066864403681904E-2</v>
      </c>
      <c r="F207" s="56">
        <v>3565018.312473313</v>
      </c>
    </row>
    <row r="208" spans="1:6">
      <c r="A208" s="32" t="s">
        <v>115</v>
      </c>
      <c r="B208" s="53">
        <f t="shared" si="3"/>
        <v>4.4464748784794041E-2</v>
      </c>
      <c r="C208" s="53">
        <v>2.1647487847940407E-3</v>
      </c>
      <c r="D208" s="53">
        <v>0.25082522328519713</v>
      </c>
      <c r="E208" s="53">
        <v>2.1647487847940407E-3</v>
      </c>
      <c r="F208" s="56">
        <v>30994592.957364962</v>
      </c>
    </row>
    <row r="209" spans="1:6">
      <c r="A209" s="32" t="s">
        <v>107</v>
      </c>
      <c r="B209" s="53">
        <f t="shared" si="3"/>
        <v>5.2665467678857734E-2</v>
      </c>
      <c r="C209" s="53">
        <v>6.8042644591899959E-3</v>
      </c>
      <c r="D209" s="53">
        <v>0.25557231156583926</v>
      </c>
      <c r="E209" s="53">
        <v>1.0365467678857737E-2</v>
      </c>
      <c r="F209" s="56">
        <v>23561725.635146514</v>
      </c>
    </row>
    <row r="210" spans="1:6">
      <c r="A210" s="32" t="s">
        <v>146</v>
      </c>
      <c r="B210" s="53">
        <f t="shared" si="3"/>
        <v>5.6257073300462909E-2</v>
      </c>
      <c r="C210" s="53">
        <v>9.3761767521845681E-3</v>
      </c>
      <c r="D210" s="53">
        <v>0.25367576019974325</v>
      </c>
      <c r="E210" s="53">
        <v>1.3957073300462912E-2</v>
      </c>
      <c r="F210" s="56">
        <v>107590288.52720933</v>
      </c>
    </row>
    <row r="213" spans="1:6">
      <c r="A213" s="54"/>
      <c r="B213" s="54" t="s">
        <v>129</v>
      </c>
      <c r="C213" s="54" t="s">
        <v>243</v>
      </c>
      <c r="D213" s="55" t="s">
        <v>251</v>
      </c>
      <c r="E213" s="54" t="s">
        <v>244</v>
      </c>
    </row>
    <row r="214" spans="1:6">
      <c r="A214" s="32" t="s">
        <v>252</v>
      </c>
      <c r="B214" s="57">
        <f>$B$1+E214</f>
        <v>8.4914849486746075E-2</v>
      </c>
      <c r="C214" s="57">
        <v>2.8036085188648738E-2</v>
      </c>
      <c r="D214" s="53">
        <v>0.20587211383081347</v>
      </c>
      <c r="E214" s="53">
        <f>C214*1.52</f>
        <v>4.2614849486746084E-2</v>
      </c>
      <c r="F214" s="58"/>
    </row>
    <row r="215" spans="1:6">
      <c r="A215" s="32" t="s">
        <v>253</v>
      </c>
      <c r="B215" s="57">
        <f t="shared" ref="B215:B224" si="4">$B$1+E215</f>
        <v>4.2319290389235598E-2</v>
      </c>
      <c r="C215" s="57">
        <v>1.2691045549737567E-5</v>
      </c>
      <c r="D215" s="53">
        <v>0.27842704609921326</v>
      </c>
      <c r="E215" s="53">
        <f t="shared" ref="E215:E224" si="5">C215*1.52</f>
        <v>1.92903892356011E-5</v>
      </c>
    </row>
    <row r="216" spans="1:6">
      <c r="A216" s="32" t="s">
        <v>254</v>
      </c>
      <c r="B216" s="57">
        <f t="shared" si="4"/>
        <v>8.6174941011547337E-2</v>
      </c>
      <c r="C216" s="57">
        <v>2.886509277075483E-2</v>
      </c>
      <c r="D216" s="53">
        <v>0.31293133327548611</v>
      </c>
      <c r="E216" s="53">
        <f t="shared" si="5"/>
        <v>4.387494101154734E-2</v>
      </c>
    </row>
    <row r="217" spans="1:6">
      <c r="A217" s="32" t="s">
        <v>51</v>
      </c>
      <c r="B217" s="57">
        <f t="shared" si="4"/>
        <v>5.1409248196635018E-2</v>
      </c>
      <c r="C217" s="53">
        <v>5.9929264451546206E-3</v>
      </c>
      <c r="D217" s="53">
        <v>0.2974</v>
      </c>
      <c r="E217" s="53">
        <f t="shared" si="5"/>
        <v>9.1092481966350228E-3</v>
      </c>
    </row>
    <row r="218" spans="1:6">
      <c r="A218" s="32" t="s">
        <v>255</v>
      </c>
      <c r="B218" s="57">
        <f t="shared" si="4"/>
        <v>4.5847192338387868E-2</v>
      </c>
      <c r="C218" s="53">
        <v>2.3336791699920191E-3</v>
      </c>
      <c r="D218" s="53">
        <v>0.25</v>
      </c>
      <c r="E218" s="53">
        <f t="shared" si="5"/>
        <v>3.5471923383878692E-3</v>
      </c>
    </row>
    <row r="219" spans="1:6">
      <c r="A219" s="32" t="s">
        <v>256</v>
      </c>
      <c r="B219" s="57">
        <f t="shared" si="4"/>
        <v>5.2642481977968794E-2</v>
      </c>
      <c r="C219" s="53">
        <v>6.8042644591899959E-3</v>
      </c>
      <c r="D219" s="53">
        <v>0.25557231156583926</v>
      </c>
      <c r="E219" s="53">
        <f t="shared" si="5"/>
        <v>1.0342481977968793E-2</v>
      </c>
    </row>
    <row r="220" spans="1:6">
      <c r="A220" s="32" t="s">
        <v>257</v>
      </c>
      <c r="B220" s="57">
        <f t="shared" si="4"/>
        <v>6.6224343199769817E-2</v>
      </c>
      <c r="C220" s="57">
        <v>1.5739699473532778E-2</v>
      </c>
      <c r="D220" s="53">
        <v>0.25110147332024457</v>
      </c>
      <c r="E220" s="53">
        <f t="shared" si="5"/>
        <v>2.3924343199769823E-2</v>
      </c>
    </row>
    <row r="221" spans="1:6">
      <c r="A221" s="32" t="s">
        <v>258</v>
      </c>
      <c r="B221" s="57">
        <f t="shared" si="4"/>
        <v>6.698520980036643E-2</v>
      </c>
      <c r="C221" s="57">
        <v>1.6240269605504232E-2</v>
      </c>
      <c r="D221" s="53">
        <v>0.25726349361837231</v>
      </c>
      <c r="E221" s="53">
        <f t="shared" si="5"/>
        <v>2.4685209800366432E-2</v>
      </c>
    </row>
    <row r="222" spans="1:6">
      <c r="A222" s="32" t="s">
        <v>44</v>
      </c>
      <c r="B222" s="57">
        <f t="shared" si="4"/>
        <v>7.0690490212845819E-2</v>
      </c>
      <c r="C222" s="57">
        <v>1.8677954087398564E-2</v>
      </c>
      <c r="D222" s="53">
        <v>0.3</v>
      </c>
      <c r="E222" s="53">
        <f t="shared" si="5"/>
        <v>2.8390490212845818E-2</v>
      </c>
    </row>
    <row r="223" spans="1:6">
      <c r="A223" s="32" t="s">
        <v>23</v>
      </c>
      <c r="B223" s="57">
        <f t="shared" si="4"/>
        <v>5.1409248196635018E-2</v>
      </c>
      <c r="C223" s="53">
        <v>5.9929264451546206E-3</v>
      </c>
      <c r="D223" s="53">
        <v>0.25</v>
      </c>
      <c r="E223" s="53">
        <f t="shared" si="5"/>
        <v>9.1092481966350228E-3</v>
      </c>
    </row>
    <row r="224" spans="1:6">
      <c r="A224" s="32" t="s">
        <v>146</v>
      </c>
      <c r="B224" s="57">
        <f t="shared" si="4"/>
        <v>5.6551788663320543E-2</v>
      </c>
      <c r="C224" s="53">
        <v>9.3761767521845681E-3</v>
      </c>
      <c r="D224" s="53">
        <v>0.25367576019974325</v>
      </c>
      <c r="E224" s="53">
        <f t="shared" si="5"/>
        <v>1.4251788663320544E-2</v>
      </c>
    </row>
    <row r="225" spans="1:5">
      <c r="B225" s="26"/>
      <c r="C225" s="26"/>
    </row>
    <row r="226" spans="1:5">
      <c r="A226" s="59" t="s">
        <v>259</v>
      </c>
      <c r="B226" s="59"/>
      <c r="C226" s="59"/>
    </row>
    <row r="227" spans="1:5">
      <c r="A227" s="54"/>
      <c r="B227" s="54" t="s">
        <v>129</v>
      </c>
      <c r="C227" s="54" t="s">
        <v>243</v>
      </c>
      <c r="D227" s="55" t="s">
        <v>251</v>
      </c>
      <c r="E227" s="54" t="s">
        <v>244</v>
      </c>
    </row>
    <row r="228" spans="1:5" ht="14">
      <c r="A228" s="32" t="s">
        <v>260</v>
      </c>
      <c r="B228" s="60">
        <f>B1+E228</f>
        <v>5.9111200000000003E-2</v>
      </c>
      <c r="C228" s="57">
        <v>1.106E-2</v>
      </c>
      <c r="D228" s="61">
        <v>0.24859999999999999</v>
      </c>
      <c r="E228" s="53">
        <f>C228*1.52</f>
        <v>1.6811200000000002E-2</v>
      </c>
    </row>
  </sheetData>
  <sortState xmlns:xlrd2="http://schemas.microsoft.com/office/spreadsheetml/2017/richdata2" ref="A5:F181">
    <sortCondition ref="A5:A181"/>
  </sortState>
  <mergeCells count="1">
    <mergeCell ref="A226:C226"/>
  </mergeCells>
  <phoneticPr fontId="12" type="noConversion"/>
  <pageMargins left="0.75" right="0.75" top="1" bottom="1" header="0.5" footer="0.5"/>
  <pageSetup orientation="portrait" horizontalDpi="4294967292" verticalDpi="4294967292"/>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Cost of capital worksheet</vt:lpstr>
      <vt:lpstr>Country equity risk premiums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2026-01-26T13:40:25Z</dcterms:modified>
</cp:coreProperties>
</file>