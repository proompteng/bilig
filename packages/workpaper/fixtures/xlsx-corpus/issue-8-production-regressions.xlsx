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ummary" sheetId="1" r:id="rId1"/>
    <sheet name="Activity" sheetId="2" r:id="rId2"/>
    <sheet name="Bank" sheetId="3" r:id="rId3"/>
    <sheet name="AverageInputs" sheetId="4" r:id="rId4"/>
  </sheets>
</workbook>
</file>

<file path=xl/styles.xml><?xml version="1.0" encoding="utf-8"?>
<styleSheet xmlns="http://schemas.openxmlformats.org/spreadsheetml/2006/main">
  <fonts count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ilig Theme">
  <a:themeElements>
    <a:clrScheme name="Bilig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pto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Bilig">
      <a:fillStyleLst>
        <a:solidFill>
          <a:schemeClr val="phClr"/>
        </a:solidFill>
      </a:fillStyleLst>
      <a:lnStyleLst>
        <a:ln w="9525">
          <a:solidFill>
            <a:schemeClr val="phClr"/>
          </a:solidFill>
        </a:ln>
      </a:lnStyleLst>
      <a:effectStyleLst>
        <a:effectStyle/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Lookup key</t>
        </is>
      </c>
      <c r="D1" t="inlineStr">
        <is>
          <t>Lookup value</t>
        </is>
      </c>
    </row>
    <row r="2">
      <c r="A2" t="inlineStr">
        <is>
          <t>Deposits</t>
        </is>
      </c>
      <c r="B2">
        <f>SUMIFS(Activity!$B$2:$B$4,Activity!$A$2:$A$4,"Deposit")</f>
        <v>3500</v>
      </c>
    </row>
    <row r="3">
      <c r="A3" t="inlineStr">
        <is>
          <t>Deposit check</t>
        </is>
      </c>
      <c r="B3" t="str">
        <f>IF(ABS(B2-3500)&lt;0.01,"PASS","FAIL")</f>
        <v>PASS</v>
      </c>
      <c r="C3" t="e">
        <f>1/0</f>
        <v>#DIV/0!</v>
      </c>
    </row>
    <row r="4">
      <c r="A4" t="inlineStr">
        <is>
          <t>Activity rows</t>
        </is>
      </c>
      <c r="B4">
        <f>COUNTA(Activity!$A$2:$A$4)</f>
        <v>3</v>
      </c>
    </row>
    <row r="5">
      <c r="A5" t="inlineStr">
        <is>
          <t>Internal link</t>
        </is>
      </c>
      <c r="B5" t="str">
        <f>HYPERLINK("#'Summary'!A1","Go to Summary")</f>
        <v>Go to Summary</v>
      </c>
    </row>
    <row r="6">
      <c r="A6" t="inlineStr">
        <is>
          <t>Formatted date</t>
        </is>
      </c>
      <c r="B6" t="str">
        <f>TEXT(46127,"mm.dd.yy")</f>
        <v>04.15.26</v>
      </c>
    </row>
    <row r="7">
      <c r="A7" t="inlineStr">
        <is>
          <t>Day</t>
        </is>
      </c>
      <c r="B7">
        <f>DAY(46127)</f>
        <v>15</v>
      </c>
    </row>
    <row r="8">
      <c r="A8" t="inlineStr">
        <is>
          <t>Workday</t>
        </is>
      </c>
      <c r="B8">
        <f>WORKDAY(46127,2)</f>
        <v>46129</v>
      </c>
    </row>
    <row r="9">
      <c r="A9" t="inlineStr">
        <is>
          <t>Deposit count</t>
        </is>
      </c>
      <c r="B9">
        <f>COUNTIF(Activity!$A$2:$A$4,"Deposit")</f>
        <v>1</v>
      </c>
    </row>
    <row r="10">
      <c r="A10" t="inlineStr">
        <is>
          <t>Non-fee sum</t>
        </is>
      </c>
      <c r="B10">
        <f>SUMIF(Activity!$A$2:$A$4,"&lt;&gt;Fee",Activity!$B$2:$B$4)</f>
        <v>3250</v>
      </c>
    </row>
    <row r="11">
      <c r="A11" t="inlineStr">
        <is>
          <t>Wrapped deposits</t>
        </is>
      </c>
      <c r="B11">
        <f>IFERROR(ROUND(SUMIFS(Activity!$B$2:$B$4,Activity!$A$2:$A$4,"Deposit"),2),0)</f>
        <v>3500</v>
      </c>
    </row>
    <row r="12">
      <c r="A12" t="inlineStr">
        <is>
          <t>XLOOKUP bank date</t>
        </is>
      </c>
      <c r="B12" t="str">
        <f>IFERROR(XLOOKUP(C14,Bank!$D$2:$D$31,Bank!$B$2:$B$31,"",0),"")</f>
        <v>2026-04-01</v>
      </c>
    </row>
    <row r="13">
      <c r="A13" t="inlineStr">
        <is>
          <t>Average ignores blanks</t>
        </is>
      </c>
      <c r="B13">
        <f>ROUND(AVERAGE(AverageInputs!$A$2:$A$20),2)</f>
        <v>18.91</v>
      </c>
    </row>
    <row r="14">
      <c r="A14" t="inlineStr">
        <is>
          <t>Bank lookup</t>
        </is>
      </c>
      <c r="C14" t="inlineStr">
        <is>
          <t>txn-123</t>
        </is>
      </c>
      <c r="D14" t="str">
        <f>IFERROR(INDEX(Bank!$B$2:$B$31,MATCH(C14,Bank!$D$2:$D$31,0)),"")</f>
        <v>2026-04-01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>
      <c r="A1" t="inlineStr">
        <is>
          <t>Type</t>
        </is>
      </c>
      <c r="B1" t="inlineStr">
        <is>
          <t>Amount</t>
        </is>
      </c>
    </row>
    <row r="2">
      <c r="A2" t="inlineStr">
        <is>
          <t>Deposit</t>
        </is>
      </c>
      <c r="B2">
        <v>3500</v>
      </c>
    </row>
    <row r="3">
      <c r="A3" t="inlineStr">
        <is>
          <t>Fee</t>
        </is>
      </c>
      <c r="B3">
        <v>-18.5</v>
      </c>
    </row>
    <row r="4">
      <c r="A4" t="inlineStr">
        <is>
          <t>Withdrawal</t>
        </is>
      </c>
      <c r="B4">
        <v>-250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>
      <c r="A1" t="inlineStr">
        <is>
          <t>Date label</t>
        </is>
      </c>
      <c r="B1" t="inlineStr">
        <is>
          <t>Date</t>
        </is>
      </c>
      <c r="C1" t="inlineStr">
        <is>
          <t>Description</t>
        </is>
      </c>
      <c r="D1" t="inlineStr">
        <is>
          <t>Transaction ID</t>
        </is>
      </c>
    </row>
    <row r="2">
      <c r="A2" t="inlineStr">
        <is>
          <t>Posted</t>
        </is>
      </c>
      <c r="B2" t="inlineStr">
        <is>
          <t>2026-04-01</t>
        </is>
      </c>
      <c r="C2" t="inlineStr">
        <is>
          <t>Deposit</t>
        </is>
      </c>
      <c r="D2" t="inlineStr">
        <is>
          <t>txn-123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>
      <c r="A1" t="inlineStr">
        <is>
          <t>Value</t>
        </is>
      </c>
    </row>
    <row r="2">
      <c r="A2">
        <v>12.5</v>
      </c>
    </row>
    <row r="3">
      <c r="A3">
        <v>24</v>
      </c>
    </row>
    <row r="4">
      <c r="A4">
        <v>18.75</v>
      </c>
    </row>
    <row r="5">
      <c r="A5">
        <v>20.25</v>
      </c>
    </row>
    <row r="6">
      <c r="A6">
        <v>19.04</v>
      </c>
    </row>
    <row r="7">
      <c r="A7" t="inlineStr">
        <is>
          <t>Department</t>
        </is>
      </c>
    </row>
    <row r="8">
      <c r="A8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Bilig</Application>
  <HeadingPairs>
    <vt:vector size="2" baseType="variant">
      <vt:variant>
        <vt:lpstr>Worksheets</vt:lpstr>
      </vt:variant>
      <vt:variant>
        <vt:i4>4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Bilig</dc:creator>
  <cp:lastModifiedBy>Bilig</cp:lastModifiedBy>
</cp:coreProperties>
</file>