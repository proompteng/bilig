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tivity" sheetId="2" r:id="rId2"/>
    <sheet name="Ban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Metric</v>
      </c>
      <c r="B1" t="str">
        <v>Value</v>
      </c>
      <c r="C1" t="str">
        <v>Lookup key</v>
      </c>
      <c r="D1" t="str">
        <v>Lookup value</v>
      </c>
    </row>
    <row r="2">
      <c r="A2" t="str">
        <v>Deposits</v>
      </c>
      <c r="B2">
        <f>SUMIFS(Activity!$B$2:$B$4,Activity!$A$2:$A$4,"Deposit")</f>
        <v>3500</v>
      </c>
    </row>
    <row r="3">
      <c r="A3" t="str">
        <v>Deposit check</v>
      </c>
      <c r="B3" t="str">
        <f>IF(ABS(B2-3500)&lt;0.01,"PASS","FAIL")</f>
        <v>PASS</v>
      </c>
      <c r="C3" t="e">
        <f>1/0</f>
        <v>#DIV/0!</v>
      </c>
    </row>
    <row r="4">
      <c r="A4" t="str">
        <v>Activity rows</v>
      </c>
      <c r="B4">
        <f>COUNTA(Activity!$A$2:$A$4)</f>
        <v>3</v>
      </c>
    </row>
    <row r="5">
      <c r="A5" t="str">
        <v>Internal link</v>
      </c>
      <c r="B5" t="str">
        <f>HYPERLINK("#'Summary'!A1","Go to Summary")</f>
        <v>Go to Summary</v>
      </c>
    </row>
    <row r="6">
      <c r="A6" t="str">
        <v>Formatted date</v>
      </c>
      <c r="B6" t="str">
        <f>TEXT(46127,"mm.dd.yy")</f>
        <v>04.15.26</v>
      </c>
    </row>
    <row r="7">
      <c r="A7" t="str">
        <v>Day</v>
      </c>
      <c r="B7">
        <f>DAY(46127)</f>
        <v>15</v>
      </c>
    </row>
    <row r="8">
      <c r="A8" t="str">
        <v>Workday</v>
      </c>
      <c r="B8">
        <f>WORKDAY(46127,2)</f>
        <v>46129</v>
      </c>
    </row>
    <row r="9">
      <c r="A9" t="str">
        <v>Deposit count</v>
      </c>
      <c r="B9">
        <f>COUNTIF(Activity!$A$2:$A$4,"Deposit")</f>
        <v>1</v>
      </c>
    </row>
    <row r="10">
      <c r="A10" t="str">
        <v>Non-fee sum</v>
      </c>
      <c r="B10">
        <f>SUMIF(Activity!$A$2:$A$4,"&lt;&gt;Fee",Activity!$B$2:$B$4)</f>
        <v>3250</v>
      </c>
    </row>
    <row r="11">
      <c r="A11" t="str">
        <v>Wrapped deposits</v>
      </c>
      <c r="B11">
        <f>IFERROR(ROUND(SUMIFS(Activity!$B$2:$B$4,Activity!$A$2:$A$4,"Deposit"),2),0)</f>
        <v>3500</v>
      </c>
    </row>
    <row r="12">
      <c r="A12" t="str">
        <v>XLOOKUP bank date</v>
      </c>
      <c r="B12" t="str">
        <f>IFERROR(XLOOKUP(C14,Bank!$D$2:$D$31,Bank!$B$2:$B$31,"",0),"")</f>
        <v>2026-04-01</v>
      </c>
    </row>
    <row r="14">
      <c r="A14" t="str">
        <v>Bank lookup</v>
      </c>
      <c r="C14" t="str">
        <v>txn-123</v>
      </c>
      <c r="D14" t="str">
        <f>IFERROR(INDEX(Bank!$B$2:$B$31,MATCH(C14,Bank!$D$2:$D$31,0)),"")</f>
        <v>2026-04-01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Type</v>
      </c>
      <c r="B1" t="str">
        <v>Amount</v>
      </c>
    </row>
    <row r="2">
      <c r="A2" t="str">
        <v>Deposit</v>
      </c>
      <c r="B2">
        <v>3500</v>
      </c>
    </row>
    <row r="3">
      <c r="A3" t="str">
        <v>Fee</v>
      </c>
      <c r="B3">
        <v>-18.5</v>
      </c>
    </row>
    <row r="4">
      <c r="A4" t="str">
        <v>Withdrawal</v>
      </c>
      <c r="B4">
        <v>-250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Date label</v>
      </c>
      <c r="B1" t="str">
        <v>Date</v>
      </c>
      <c r="C1" t="str">
        <v>Description</v>
      </c>
      <c r="D1" t="str">
        <v>Transaction ID</v>
      </c>
    </row>
    <row r="2">
      <c r="A2" t="str">
        <v>Posted</v>
      </c>
      <c r="B2" t="str">
        <v>2026-04-01</v>
      </c>
      <c r="C2" t="str">
        <v>Deposit</v>
      </c>
      <c r="D2" t="str">
        <v>txn-123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Activity</vt:lpstr>
      <vt:lpstr>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